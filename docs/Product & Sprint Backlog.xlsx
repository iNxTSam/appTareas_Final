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nxts\Downloads\"/>
    </mc:Choice>
  </mc:AlternateContent>
  <xr:revisionPtr revIDLastSave="0" documentId="13_ncr:1_{19312AC8-2054-4A58-82AC-D33463DCD83B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Product Backlog" sheetId="1" r:id="rId1"/>
    <sheet name="Sprint 1 Backlog" sheetId="2" r:id="rId2"/>
    <sheet name="Sprint 2 Backlog" sheetId="3" r:id="rId3"/>
    <sheet name="Testing Plan" sheetId="4" r:id="rId4"/>
    <sheet name="Ex form Testing" sheetId="5" r:id="rId5"/>
    <sheet name="KPI'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E3" i="6"/>
  <c r="D59" i="3"/>
  <c r="D54" i="3"/>
  <c r="D49" i="3"/>
  <c r="D44" i="3"/>
  <c r="D39" i="3"/>
  <c r="D34" i="3"/>
  <c r="D29" i="3"/>
  <c r="D24" i="3"/>
  <c r="D19" i="3"/>
  <c r="D14" i="3"/>
  <c r="D19" i="2"/>
  <c r="B15" i="2"/>
  <c r="A15" i="2"/>
  <c r="D14" i="2"/>
  <c r="B10" i="2"/>
  <c r="A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2" authorId="0" shapeId="0" xr:uid="{00000000-0006-0000-0400-000001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23" authorId="0" shapeId="0" xr:uid="{00000000-0006-0000-0400-000002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34" authorId="0" shapeId="0" xr:uid="{00000000-0006-0000-0400-000003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45" authorId="0" shapeId="0" xr:uid="{00000000-0006-0000-0400-000004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56" authorId="0" shapeId="0" xr:uid="{00000000-0006-0000-0400-000005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67" authorId="0" shapeId="0" xr:uid="{00000000-0006-0000-0400-000006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78" authorId="0" shapeId="0" xr:uid="{00000000-0006-0000-0400-000007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89" authorId="0" shapeId="0" xr:uid="{00000000-0006-0000-0400-000008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100" authorId="0" shapeId="0" xr:uid="{00000000-0006-0000-0400-000009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111" authorId="0" shapeId="0" xr:uid="{00000000-0006-0000-0400-00000A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122" authorId="0" shapeId="0" xr:uid="{00000000-0006-0000-0400-00000B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133" authorId="0" shapeId="0" xr:uid="{00000000-0006-0000-0400-00000C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144" authorId="0" shapeId="0" xr:uid="{00000000-0006-0000-0400-00000D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155" authorId="0" shapeId="0" xr:uid="{00000000-0006-0000-0400-00000E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  <comment ref="B166" authorId="0" shapeId="0" xr:uid="{00000000-0006-0000-0400-00000F000000}">
      <text>
        <r>
          <rPr>
            <sz val="10"/>
            <color rgb="FF000000"/>
            <rFont val="Arial"/>
          </rPr>
          <t>No ejecutado
Aprobado (Passed)
Fallido (Failed)
Bloqueado (Blocked)</t>
        </r>
      </text>
    </comment>
  </commentList>
</comments>
</file>

<file path=xl/sharedStrings.xml><?xml version="1.0" encoding="utf-8"?>
<sst xmlns="http://schemas.openxmlformats.org/spreadsheetml/2006/main" count="621" uniqueCount="260">
  <si>
    <t>User Story:</t>
  </si>
  <si>
    <t>HU-02</t>
  </si>
  <si>
    <t>Criterio de aceptación</t>
  </si>
  <si>
    <t>CA-02.3</t>
  </si>
  <si>
    <t>Tipo Prueba</t>
  </si>
  <si>
    <t>Funcional / caja negra</t>
  </si>
  <si>
    <t xml:space="preserve">Precondición: </t>
  </si>
  <si>
    <t>Existe un usuario activo registrado con correo ana@test.local y contraseña Abcd1234.</t>
  </si>
  <si>
    <t xml:space="preserve">Datos de entrada: </t>
  </si>
  <si>
    <t>Correo ana@test.local; contraseña incorrecta Abcd1235.</t>
  </si>
  <si>
    <t>Pasos de ejecución</t>
  </si>
  <si>
    <t>Abrir la página de inicio de sesión.
Ingresar el correo registrado.
Ingresar la contraseña incorrecta.
Seleccionar el botón de iniciar sesión.
Observar la respuesta del sistema.
Intentar acceder a una página privada.</t>
  </si>
  <si>
    <t xml:space="preserve">Resultado esperado: </t>
  </si>
  <si>
    <t>El sistema rechaza las credenciales, presenta un mensaje genérico de autenticación fallida y no concede acceso al área privada.</t>
  </si>
  <si>
    <t xml:space="preserve">Evidencia requerida: </t>
  </si>
  <si>
    <t>Captura del mensaje de error y del resultado del intento de acceso a la página privada.</t>
  </si>
  <si>
    <t xml:space="preserve">Resultado real: </t>
  </si>
  <si>
    <t>Se ingreso ana@test.local con contrasena Abcd1235: el sistema mostro 'El correo o la contrasena no son correctos.'; al intentar acceder a /panel redirigio a /login. No se concedio acceso.</t>
  </si>
  <si>
    <t xml:space="preserve">Estado: </t>
  </si>
  <si>
    <t>HU-01</t>
  </si>
  <si>
    <t>CA-01.6</t>
  </si>
  <si>
    <t>La aplicación está en ejecución y no existe una sesión activa. El correo ana@test.local no está registrado.</t>
  </si>
  <si>
    <t>Nombre Ana Torres; correo ana@test.local; contraseña Abcd1234; confirmación Abcd1234.</t>
  </si>
  <si>
    <t>Abrir la página de registro.
Verificar que el formulario solicita nombre, correo electrónico, contraseña y confirmación.
Ingresar los datos válidos.
Seleccionar el botón de registrar.
Observar la respuesta del sistema.
Verificar la creación del usuario en la base de datos.</t>
  </si>
  <si>
    <t>El sistema crea el usuario, presenta un mensaje de confirmación y permite iniciar sesión con las credenciales registradas.</t>
  </si>
  <si>
    <t>Captura del mensaje de confirmación y de la fila del usuario creada en la base de datos.</t>
  </si>
  <si>
    <t>El formulario solicito nombre, correo, contrasena y confirmacion. Con datos validos mostro 'Cuenta creada correctamente.' y se creo el usuario id 3 (Ana Torres, ana@test.local) en la base de datos.</t>
  </si>
  <si>
    <t>CA-01.4</t>
  </si>
  <si>
    <t>La aplicación está en ejecución y no existe una sesión activa.</t>
  </si>
  <si>
    <t>Nombre Ana Torres; correo ana@test.local; contraseña Abc1234 de 7 caracteres; confirmación Abc1234.</t>
  </si>
  <si>
    <t>Abrir la página de registro.
Ingresar nombre, correo electrónico y confirmación.
Ingresar la contraseña Abc1234, que contiene 7 caracteres.
Seleccionar el botón de registrar.
Observar la respuesta del sistema.</t>
  </si>
  <si>
    <t>El sistema rechaza la contraseña porque no cumple el mínimo de 8 caracteres y no crea el usuario.</t>
  </si>
  <si>
    <t>Captura del mensaje de validación de contraseña y de la ausencia del usuario en la base de datos.</t>
  </si>
  <si>
    <t>Con la contrasena Abc1234 de 7 caracteres el sistema respondio 'La contrasena debe tener al menos 8 caracteres.'; la consulta posterior confirmo 0 usuarios con ese correo.</t>
  </si>
  <si>
    <t>CA-02.2</t>
  </si>
  <si>
    <t>Correo ana@test.local; contraseña Abcd1234.</t>
  </si>
  <si>
    <t>Abrir la página de inicio de sesión.
Ingresar el correo registrado.
Ingresar la contraseña correcta.
Seleccionar el botón de iniciar sesión.
Observar la respuesta del sistema.
Verificar la página a la que se redirige.</t>
  </si>
  <si>
    <t>El sistema valida las credenciales, inicia la sesión y redirige al área privada.</t>
  </si>
  <si>
    <t>Captura del área privada con la sesión iniciada.</t>
  </si>
  <si>
    <t>Con credenciales correctas mostro 'Inicio de sesion correcto.' y redirigio a /panel con el mensaje 'Hola, Ana Torres. Has iniciado sesion correctamente.'</t>
  </si>
  <si>
    <t>CA-02.6</t>
  </si>
  <si>
    <t>No existe una sesión iniciada en el navegador.</t>
  </si>
  <si>
    <t>URL de la página privada /panel sin autenticarse.</t>
  </si>
  <si>
    <t>Abrir el navegador sin iniciar sesión.
Escribir directamente la dirección de la página privada.
Presionar Enter.
Observar la respuesta del sistema.</t>
  </si>
  <si>
    <t>El sistema deniega el acceso y redirige al visitante a la página de inicio de sesión.</t>
  </si>
  <si>
    <t>Captura de la redirección a la página de inicio de sesión.</t>
  </si>
  <si>
    <t>Al escribir /panel sin sesion el sistema redirigio automaticamente a http://localhost:8000/login.</t>
  </si>
  <si>
    <t>CA-01.2</t>
  </si>
  <si>
    <t>Todos los campos vacíos: nombre, correo electrónico, contraseña y confirmación.</t>
  </si>
  <si>
    <t>Abrir la página de registro.
Dejar todos los campos vacíos.
Seleccionar el botón de registrar.
Observar los mensajes del sistema.
Verificar que no se creó ningún usuario.</t>
  </si>
  <si>
    <t>El sistema presenta los mensajes de obligatoriedad en cada campo y no crea el usuario.</t>
  </si>
  <si>
    <t>Captura de los mensajes de campos obligatorios.</t>
  </si>
  <si>
    <t>Los cuatro campos tienen validacion de obligatoriedad (required con mensaje 'Please fill out this field.'); el envio se bloqueo en el navegador y la consulta a la BD confirmo que no se creo ningun usuario.</t>
  </si>
  <si>
    <t>CA-01.3</t>
  </si>
  <si>
    <t>Nombre Ana Torres; correo ana@correo; contraseña Abcd1234; confirmación Abcd1234.</t>
  </si>
  <si>
    <t>Abrir la página de registro.
Ingresar los datos utilizando el correo ana@correo.
Seleccionar el botón de registrar.
Observar la respuesta del sistema.
Verificar que no se creó el usuario.</t>
  </si>
  <si>
    <t>El sistema rechaza el correo por tener un formato inválido y no crea el usuario.</t>
  </si>
  <si>
    <t>Captura del mensaje de validación del correo electrónico.</t>
  </si>
  <si>
    <t>El sistema respondio 'Ingresa un correo valido.' y la consulta a la BD confirmo que no se creo el usuario.</t>
  </si>
  <si>
    <t>Existe un usuario activo registrado con correo ana@test.local.</t>
  </si>
  <si>
    <t>Nombre Ana Torres; correo ANA@test.local; contraseña Abcd1234; confirmación Abcd1234.</t>
  </si>
  <si>
    <t>Abrir la página de registro.
Ingresar el correo ANA@test.local en mayúsculas y los demás datos válidos.
Seleccionar el botón de registrar.
Observar la respuesta del sistema.
Consultar la base de datos y verificar cuántos registros del correo existen.</t>
  </si>
  <si>
    <t>El sistema rechaza el duplicado sin distinguir mayúsculas de minúsculas y en la base de datos solo existe un registro del correo.</t>
  </si>
  <si>
    <t>Captura del mensaje de correo ya registrado y de la consulta que muestra un único registro.</t>
  </si>
  <si>
    <t>Con ANA@test.local el sistema respondio 'Este correo ya esta registrado.'; en la BD existe un unico registro (id 4, ana@test.local).</t>
  </si>
  <si>
    <t>La aplicación está en ejecución y no existe una sesión activa. El correo carlos@test.local no está registrado.</t>
  </si>
  <si>
    <t>Nombre Carlos Ruiz; correo carlos@test.local; contraseña Abcd1234 de 8 caracteres; confirmación Abcd1234.</t>
  </si>
  <si>
    <t>Abrir la página de registro.
Ingresar nombre, correo electrónico y confirmación.
Ingresar la contraseña Abcd1234, que contiene exactamente 8 caracteres.
Seleccionar el botón de registrar.
Observar la respuesta del sistema.</t>
  </si>
  <si>
    <t>El sistema acepta la contraseña porque cumple el mínimo de 8 caracteres y crea el usuario.</t>
  </si>
  <si>
    <t>Con Abcd1234 de exactamente 8 caracteres el sistema mostro 'Cuenta creada correctamente.' y se creo el usuario id 5 (Carlos Ruiz).</t>
  </si>
  <si>
    <t>CA-01.5</t>
  </si>
  <si>
    <t>La aplicación está en ejecución y no existe una sesión activa. El correo luis@test.local no está registrado.</t>
  </si>
  <si>
    <t>Nombre Luis Gómez; correo luis@test.local; contraseña Abcd1234; confirmación Abcd1235.</t>
  </si>
  <si>
    <t>Abrir la página de registro.
Ingresar nombre, correo electrónico, contraseña Abcd1234 y confirmación Abcd1235.
Seleccionar el botón de registrar.
Observar la respuesta del sistema.
Verificar que no se creó el usuario.</t>
  </si>
  <si>
    <t>El sistema rechaza el registro porque la contraseña y su confirmación no coinciden.</t>
  </si>
  <si>
    <t>Captura del mensaje de contraseñas no coincidentes y de la ausencia del usuario en la base de datos.</t>
  </si>
  <si>
    <t>El sistema respondio 'Las contrasenas no coinciden.'; la consulta a la BD confirmo 0 usuarios con ese correo.</t>
  </si>
  <si>
    <t>CA-01.7</t>
  </si>
  <si>
    <t>La aplicación está en ejecución. El correo ana@test.local no está registrado.</t>
  </si>
  <si>
    <t>Abrir la página de registro.
Ingresar los datos válidos y registrar.
Abrir la base de datos.
Consultar la fila del usuario creado.
Comparar el valor almacenado en la columna de contraseña con la contraseña ingresada.</t>
  </si>
  <si>
    <t>El valor almacenado no coincide con la contraseña en texto plano; la contraseña se guarda mediante un algoritmo de hashing seguro.</t>
  </si>
  <si>
    <t>Captura de la consulta a la base de datos que muestra el hash almacenado.</t>
  </si>
  <si>
    <t>El valor almacenado en la columna password es '$2y$12$...' (bcrypt, 60 caracteres) y no coincide con 'Abcd1234' en texto plano.</t>
  </si>
  <si>
    <t>No existe ningún usuario con el correo sofia@test.local y no hay sesión iniciada.</t>
  </si>
  <si>
    <t>Correo sofia@test.local; contraseña Abcd1234.</t>
  </si>
  <si>
    <t>Abrir la página de inicio de sesión.
Ingresar el correo no registrado.
Ingresar una contraseña.
Seleccionar el botón de iniciar sesión.
Observar la respuesta del sistema.
Intentar acceder a una página privada.</t>
  </si>
  <si>
    <t>El sistema deniega el acceso con un mensaje genérico que no revela si la cuenta existe y no concede acceso al área privada.</t>
  </si>
  <si>
    <t>Captura del mensaje genérico y del resultado del intento de acceso a la página privada.</t>
  </si>
  <si>
    <t>El sistema respondio 'El correo o la contrasena no son correctos.' (mensaje generico, no revela si la cuenta existe) y /panel redirigio a /login.</t>
  </si>
  <si>
    <t>CA-02.4</t>
  </si>
  <si>
    <t>La aplicación está en ejecución y no hay sesión iniciada.</t>
  </si>
  <si>
    <t>Correo vacío; contraseña vacía.</t>
  </si>
  <si>
    <t>Abrir la página de inicio de sesión.
Dejar ambos campos vacíos.
Seleccionar el botón de iniciar sesión.
Observar los mensajes del sistema.
Intentar acceder a una página privada.</t>
  </si>
  <si>
    <t>El sistema presenta las validaciones de los campos obligatorios, no autentica al usuario y no concede acceso al área privada.</t>
  </si>
  <si>
    <t>Captura de los mensajes de validación y del intento de acceso denegado.</t>
  </si>
  <si>
    <t>Correo y contrasena tienen validacion required ('Please fill out this field.'); no se autentico y /panel redirigio a /login.</t>
  </si>
  <si>
    <t>CA-02.5</t>
  </si>
  <si>
    <t>Abrir la página de inicio de sesión.
Ingresar el correo y la contraseña correctos.
Seleccionar el botón de iniciar sesión.
Observar la página a la que se redirige.
Navegar por el área privada.</t>
  </si>
  <si>
    <t>Al autenticarse el usuario queda con sesión válida, es redirigido al área privada y puede navegar en ella sin volver a autenticarse.</t>
  </si>
  <si>
    <t>Captura del área privada con la sesión iniciada y de la navegación interna.</t>
  </si>
  <si>
    <t>Tras iniciar sesion redirigio a /panel con 'Hola, Ana Torres...'; al navegar a / y volver a /panel la sesion se mantuvo sin volver a autenticarse.</t>
  </si>
  <si>
    <t>CA-02.1</t>
  </si>
  <si>
    <t>Ninguno; es una verificación visual del formulario.</t>
  </si>
  <si>
    <t>Abrir la página de inicio de sesión.
Verificar los campos que presenta el formulario.
Compararlos con lo definido en el criterio de aceptación.</t>
  </si>
  <si>
    <t>El formulario de inicio de sesión solicita únicamente correo electrónico y contraseña.</t>
  </si>
  <si>
    <t>Captura del formulario de inicio de sesión mostrando sus dos campos.</t>
  </si>
  <si>
    <t>El formulario presenta unicamente dos campos: 'Correo' (email) y 'Contrasena' (password), mas el boton Ingresar.</t>
  </si>
  <si>
    <t>Product Backlog</t>
  </si>
  <si>
    <t>Enter your acceptance criteria,  in your Sprint Review (demo) what would the PO be looking for before you can demo?</t>
  </si>
  <si>
    <t>Priority</t>
  </si>
  <si>
    <t>Story or Feature</t>
  </si>
  <si>
    <t>Estimate in Points</t>
  </si>
  <si>
    <t>Acceptance Criteria</t>
  </si>
  <si>
    <t>Definition of DONE</t>
  </si>
  <si>
    <t>Como visitante del sistema, quiero crear una cuenta proporcionando mis datos personales y credenciales, para acceder a las funcionalidades disponibles para usuarios registrados.</t>
  </si>
  <si>
    <t>CA-01.1: El formulario solicita nombre, correo electrónico, contraseña y confirmación.
CA-01.2: Todos los campos son obligatorios.
CA-01.3: El correo electrónico debe tener un formato válido y ser único, sin distinguir mayúsculas de minúsculas.
CA-01.4: La contraseña debe tener al menos 8 caracteres, una letra mayúscula, una minúscula y un número.
CA-01.5: La contraseña y su confirmación deben coincidir.
CA-01.6: Cuando los datos son válidos, se crea el usuario y se presenta un mensaje de confirmación.
CA-01.7: Las contraseñas se almacenan mediante un algoritmo de hashing seguro, nunca en texto plano.</t>
  </si>
  <si>
    <t>DoD Sprint 1: código funcional + criterios de aceptación verificados + casos de prueba documentados.</t>
  </si>
  <si>
    <t>Como usuario registrado, quiero iniciar sesión mediante mi correo y contraseña, para acceder a un área privada del sistema.</t>
  </si>
  <si>
    <t>CA-02.1: El formulario solicita correo electrónico y contraseña.
CA-02.2: El sistema permite iniciar sesión con credenciales válidas.
CA-02.3: Si las credenciales son incorrectas, se muestra un mensaje genérico sin revelar cuál dato falló.
CA-02.4: No se permite iniciar sesión con campos vacíos.
CA-02.5: Al autenticarse, el usuario es redirigido a una página privada.
CA-02.6: Un visitante no autenticado no puede acceder directamente a páginas privadas.</t>
  </si>
  <si>
    <t>HU-03</t>
  </si>
  <si>
    <t>Como usuario registrado, quiero recuperar el acceso a mi cuenta mediante mi correo electrónico, para establecer una nueva contraseña si olvido la anterior.</t>
  </si>
  <si>
    <t>CA-03.1: El formulario permite solicitar la recuperación mediante un correo electrónico
CA-03.2: El sistema presenta un mensaje genérico de confirmación, independientemente de si el correo está registrado.
CA-03.3: Si la cuenta existe, se genera un enlace de recuperación con un token seguro, de un solo uso, enviado al correo registrado.
CA-03.4: El enlace expira después de 30 minutos.
CA-03.5: La nueva contraseña debe cumplir las reglas de seguridad definidas en HU-01.
CA-03.6: Al cambiar exitosamente la contraseña, el token queda invalidado.
CA-03.7: La contraseña anterior deja de permitir el inicio de sesión.</t>
  </si>
  <si>
    <t>HU-04</t>
  </si>
  <si>
    <t>Como usuario autenticado, quiero cerrar mi sesión, para evitar que otras personas utilicen mi sesión activa.</t>
  </si>
  <si>
    <t>CA-04.1: El usuario autenticado dispone de una opción para cerrar sesión.
CA-04.2: Al cerrar sesión se invalida la sesión actual en el servidor.
CA-04.3: El usuario es redirigido a la página de inicio de sesión.
CA-04.4: Después de cerrar sesión no puede acceder a páginas privadas usando la URL directamente o el botón Atrás sin autenticarse nuevamente</t>
  </si>
  <si>
    <t>HU-05</t>
  </si>
  <si>
    <t>Como usuario registrado, quiero que el sistema limite los intentos de autenticación fallidos, para reducir el riesgo de accesos no autorizados</t>
  </si>
  <si>
    <t>CA-05.1: Se permiten como máximo cinco intentos fallidos consecutivos para una misma combinación de cuenta e IP durante una ventana de 15 minutos.
CA-05.2: Al superar el límite, los intentos posteriores quedan temporalmente bloqueados durante 15 minutos.
CA-05.3: El sistema presenta un mensaje comprensible sin revelar información sensible.
CA-05.4: Después del período de bloqueo se puede volver a intentar el inicio de sesión.
CA-05.5: Un inicio de sesión exitoso reinicia el contador correspondiente</t>
  </si>
  <si>
    <t>Sprint 1 Goal</t>
  </si>
  <si>
    <t>Sprint Goal
Desarrollar y validar un módulo básico de autenticación que permita registrar usuarios, iniciar sesión, cerrar sesión y recuperar contraseñas, demostrando el cumplimiento de los criterios de aceptación mediante casos de prueba positivos y negativos, y una matriz de trazabilidad.</t>
  </si>
  <si>
    <t>Enter your TOTAL team capacity in real minutes: 180</t>
  </si>
  <si>
    <t>Select the highest priority Features or Stories for your Sprint</t>
  </si>
  <si>
    <t>Sprint 1 Backlog</t>
  </si>
  <si>
    <t>Estimate each task in real time</t>
  </si>
  <si>
    <t>Tasks</t>
  </si>
  <si>
    <t>Estimate in Real Minutes</t>
  </si>
  <si>
    <t>Resource Name</t>
  </si>
  <si>
    <t>Diseño BD, Diseño Funcional (Clases, Secuencias)</t>
  </si>
  <si>
    <t>All members</t>
  </si>
  <si>
    <t>Desarrollo</t>
  </si>
  <si>
    <t>Pruebas</t>
  </si>
  <si>
    <t>Ajustes</t>
  </si>
  <si>
    <t>Total</t>
  </si>
  <si>
    <t>Sprint 2 Goal</t>
  </si>
  <si>
    <t>Enter the goal of your Sprint 1</t>
  </si>
  <si>
    <t>Enter your TOTAL team capacity in real minutes:</t>
  </si>
  <si>
    <t>Sprint 2 Backlog</t>
  </si>
  <si>
    <t>Comments</t>
  </si>
  <si>
    <t>Enter user story here</t>
  </si>
  <si>
    <t>Task 1</t>
  </si>
  <si>
    <t>Task 2</t>
  </si>
  <si>
    <t>Task 3</t>
  </si>
  <si>
    <t>Task 4</t>
  </si>
  <si>
    <t>Enter another feature</t>
  </si>
  <si>
    <t>TP-S01 — Plan de pruebas funcionales</t>
  </si>
  <si>
    <t>Versión 1.0 | Aplicable a Laravel y Django</t>
  </si>
  <si>
    <t xml:space="preserve">Objetivo: </t>
  </si>
  <si>
    <t>Verificar que las funcionalidades del módulo de autenticación cumplen los criterios de aceptación definidos por el Product Owner, mediante pruebas manuales documentadas y reproducibles.</t>
  </si>
  <si>
    <t xml:space="preserve">Alcance: </t>
  </si>
  <si>
    <t>Registro, autenticación, recuperación de contraseña, cierre de sesión y control de intentos fallidos.</t>
  </si>
  <si>
    <t xml:space="preserve">Enfoque: </t>
  </si>
  <si>
    <t>Pruebas de caja negra basadas en requisitos, incluyendo partición de equivalencia, análisis de valores límite y escenarios positivos y negativos.</t>
  </si>
  <si>
    <t xml:space="preserve">Fuera de alcance: </t>
  </si>
  <si>
    <t>Automatización de pruebas unitarias, medición de cobertura, pruebas de carga y auditorías de seguridad avanzadas.</t>
  </si>
  <si>
    <t>3.1. Estrategia de pruebas</t>
  </si>
  <si>
    <t>Tipo</t>
  </si>
  <si>
    <t>Propósito</t>
  </si>
  <si>
    <t>Ejemplo</t>
  </si>
  <si>
    <t>Positivas</t>
  </si>
  <si>
    <t>Verificar comportamientos con entradas válidas</t>
  </si>
  <si>
    <t>Registrar un usuario correctamente</t>
  </si>
  <si>
    <t>Negativas</t>
  </si>
  <si>
    <t>Verificar rechazo de entradas inválidas</t>
  </si>
  <si>
    <t>Iniciar sesión con contraseña incorrecta</t>
  </si>
  <si>
    <t>Valores límite</t>
  </si>
  <si>
    <t>Evaluar restricciones en sus extremos</t>
  </si>
  <si>
    <t>Contraseña de 7, 8 y 9 caracteres</t>
  </si>
  <si>
    <t>Partición de equivalencia</t>
  </si>
  <si>
    <t>Seleccionar datos representativos de clases válidas e inválidas</t>
  </si>
  <si>
    <t>Correos válidos, inválidos y duplicados</t>
  </si>
  <si>
    <t>Funcionales de seguridad</t>
  </si>
  <si>
    <t>Comprobar controles de acceso y protección de credenciales</t>
  </si>
  <si>
    <t>Acceder a una URL privada sin autenticación</t>
  </si>
  <si>
    <t>3.2. Condiciones del entorno</t>
  </si>
  <si>
    <t>Todos los equipos deberán disponer de:</t>
  </si>
  <si>
    <t>Una aplicación funcional ejecutándose localmente o en un entorno de pruebas.</t>
  </si>
  <si>
    <t>Una base de datos independiente para testing, PostgreSQL o MySQL.</t>
  </si>
  <si>
    <t>Un usuario previamente registrado y un correo no registrado.</t>
  </si>
  <si>
    <t>Un mecanismo de correo de pruebas, como un servidor SMTP local o un buzón de desarrollo.</t>
  </si>
  <si>
    <t>Datos de prueba identificables y reutilizables.</t>
  </si>
  <si>
    <t>Un repositorio Git con las implementaciones y evidencias.</t>
  </si>
  <si>
    <t>Las pruebas de recuperación de contraseña deben ejecutarse con correos de prueba. No es necesario utilizar cuentas personales ni servicios de correo reales.</t>
  </si>
  <si>
    <t>4. Catálogo de casos de prueba</t>
  </si>
  <si>
    <t>Los siguientes casos constituyen el conjunto mínimo obligatorio. Cada equipo deberá documentar los pasos detallados, ejecutar las pruebas y registrar los resultados.</t>
  </si>
  <si>
    <t>HU-01 — Registro de usuarios</t>
  </si>
  <si>
    <t>ID</t>
  </si>
  <si>
    <t>Escenario y datos</t>
  </si>
  <si>
    <t>Resultado esperado</t>
  </si>
  <si>
    <t>CP-01</t>
  </si>
  <si>
    <t>Registrar ana@test.local con datos válidos</t>
  </si>
  <si>
    <t>Usuario creado exitosamente</t>
  </si>
  <si>
    <t>Positivo</t>
  </si>
  <si>
    <t>CP-02</t>
  </si>
  <si>
    <t>Enviar todos los campos vacíos</t>
  </si>
  <si>
    <t>Mensajes de obligatoriedad; no se crea usuario</t>
  </si>
  <si>
    <t>Negativo</t>
  </si>
  <si>
    <t>CP-03</t>
  </si>
  <si>
    <t>Registrar correo ana@correo</t>
  </si>
  <si>
    <t>Correo rechazado por formato inválido</t>
  </si>
  <si>
    <t>CP-04</t>
  </si>
  <si>
    <t>Registrar correo existente ANA@test.local</t>
  </si>
  <si>
    <t>Se rechaza el duplicado</t>
  </si>
  <si>
    <t>CP-05</t>
  </si>
  <si>
    <t>Contraseña Abc1234 (7 caracteres)</t>
  </si>
  <si>
    <t>Contraseña rechazada</t>
  </si>
  <si>
    <t>Límite</t>
  </si>
  <si>
    <t>CP-06</t>
  </si>
  <si>
    <t>Contraseña Abcd1234 (8 caracteres)</t>
  </si>
  <si>
    <t>Contraseña aceptada</t>
  </si>
  <si>
    <t>CP-07</t>
  </si>
  <si>
    <t>Contraseña y confirmación diferentes</t>
  </si>
  <si>
    <t>Registro rechazado</t>
  </si>
  <si>
    <t>CP-08</t>
  </si>
  <si>
    <t>Verificar el valor almacenado en BD</t>
  </si>
  <si>
    <t>No coincide con contraseña en texto plano; se utiliza hashing seguro</t>
  </si>
  <si>
    <t>Seguridad</t>
  </si>
  <si>
    <t>HU-02 — Inicio de sesión</t>
  </si>
  <si>
    <t>CP-09</t>
  </si>
  <si>
    <t>Correo y contraseña correctos</t>
  </si>
  <si>
    <t>Acceso concedido al área privada</t>
  </si>
  <si>
    <t>CP-10</t>
  </si>
  <si>
    <t>Correo correcto, contraseña incorrecta</t>
  </si>
  <si>
    <t>Acceso denegado con mensaje genérico</t>
  </si>
  <si>
    <t>CP-11</t>
  </si>
  <si>
    <t>Correo no registrado</t>
  </si>
  <si>
    <t>Acceso denegado sin revelar existencia de cuenta</t>
  </si>
  <si>
    <t>CP-12</t>
  </si>
  <si>
    <t>Ambos campos vacíos</t>
  </si>
  <si>
    <t>Validaciones visibles; sin autenticación</t>
  </si>
  <si>
    <t>CP-13</t>
  </si>
  <si>
    <t>Abrir URL privada sin iniciar sesión</t>
  </si>
  <si>
    <t>Acceso denegado y redirección al login</t>
  </si>
  <si>
    <t>CP-14</t>
  </si>
  <si>
    <t>Iniciar sesión y navegar al área privada</t>
  </si>
  <si>
    <t>Sesión válida y acceso autorizado</t>
  </si>
  <si>
    <t>Pendiente de ejecución.</t>
  </si>
  <si>
    <t>No ejecutado.</t>
  </si>
  <si>
    <t>KPI</t>
  </si>
  <si>
    <t>Variables a medir</t>
  </si>
  <si>
    <t>Valores</t>
  </si>
  <si>
    <t>Resultado</t>
  </si>
  <si>
    <t>Cobertura</t>
  </si>
  <si>
    <t>Criterios con al menos una prueba</t>
  </si>
  <si>
    <t>La cobertura mide existencia de pruebas, no su éxito.</t>
  </si>
  <si>
    <t>Total Criterios</t>
  </si>
  <si>
    <t>Aprobacion</t>
  </si>
  <si>
    <t>Casos Aprobados</t>
  </si>
  <si>
    <t>Se reportará  la tasa de aprobación</t>
  </si>
  <si>
    <t>Casos Ejecutados</t>
  </si>
  <si>
    <t>Apraboda.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</si>
</sst>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1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28"/>
      <color rgb="FF000000"/>
      <name val="Arial"/>
      <family val="2"/>
    </font>
    <font>
      <b/>
      <sz val="14"/>
      <color rgb="FFFF0000"/>
      <name val="Arial"/>
      <family val="2"/>
    </font>
    <font>
      <sz val="10"/>
      <color rgb="FF000000"/>
      <name val="Arial"/>
      <family val="2"/>
    </font>
    <font>
      <b/>
      <sz val="2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3.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/>
  </cellStyleXfs>
  <cellXfs count="55"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4" fillId="4" borderId="0" xfId="0" applyFont="1" applyFill="1" applyAlignment="1">
      <alignment horizontal="center" wrapText="1"/>
    </xf>
    <xf numFmtId="0" fontId="1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" xfId="0" quotePrefix="1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12" fillId="0" borderId="0" xfId="0" applyFont="1"/>
    <xf numFmtId="0" fontId="0" fillId="0" borderId="0" xfId="0"/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" fillId="0" borderId="0" xfId="0" applyFont="1"/>
    <xf numFmtId="0" fontId="1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0" fontId="1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vertical="top" wrapText="1"/>
    </xf>
    <xf numFmtId="9" fontId="0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6">
    <dxf>
      <fill>
        <patternFill patternType="solid">
          <bgColor rgb="FFD0E0E3"/>
        </patternFill>
      </fill>
    </dxf>
    <dxf>
      <fill>
        <patternFill patternType="solid">
          <bgColor rgb="FFFFE599"/>
        </patternFill>
      </fill>
    </dxf>
    <dxf>
      <fill>
        <patternFill patternType="solid">
          <bgColor rgb="FFF6B26B"/>
        </patternFill>
      </fill>
    </dxf>
    <dxf>
      <fill>
        <patternFill patternType="solid">
          <bgColor rgb="FFEA9999"/>
        </patternFill>
      </fill>
    </dxf>
    <dxf>
      <fill>
        <patternFill patternType="solid">
          <bgColor rgb="FFD0E0E3"/>
        </patternFill>
      </fill>
    </dxf>
    <dxf>
      <fill>
        <patternFill patternType="solid">
          <bgColor rgb="FFFFE599"/>
        </patternFill>
      </fill>
    </dxf>
    <dxf>
      <fill>
        <patternFill patternType="solid">
          <bgColor rgb="FFF6B26B"/>
        </patternFill>
      </fill>
    </dxf>
    <dxf>
      <fill>
        <patternFill patternType="solid">
          <bgColor rgb="FFEA9999"/>
        </patternFill>
      </fill>
    </dxf>
    <dxf>
      <fill>
        <patternFill patternType="solid">
          <bgColor rgb="FFD0E0E3"/>
        </patternFill>
      </fill>
    </dxf>
    <dxf>
      <fill>
        <patternFill patternType="solid">
          <bgColor rgb="FFFFE599"/>
        </patternFill>
      </fill>
    </dxf>
    <dxf>
      <fill>
        <patternFill patternType="solid">
          <bgColor rgb="FFF6B26B"/>
        </patternFill>
      </fill>
    </dxf>
    <dxf>
      <fill>
        <patternFill patternType="solid">
          <bgColor rgb="FFEA9999"/>
        </patternFill>
      </fill>
    </dxf>
    <dxf>
      <fill>
        <patternFill patternType="solid">
          <bgColor rgb="FFD0E0E3"/>
        </patternFill>
      </fill>
    </dxf>
    <dxf>
      <fill>
        <patternFill patternType="solid">
          <bgColor rgb="FFFFE599"/>
        </patternFill>
      </fill>
    </dxf>
    <dxf>
      <fill>
        <patternFill patternType="solid">
          <bgColor rgb="FFF6B26B"/>
        </patternFill>
      </fill>
    </dxf>
    <dxf>
      <fill>
        <patternFill patternType="solid"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19"/>
  <sheetViews>
    <sheetView topLeftCell="B5" zoomScale="70" zoomScaleNormal="70" workbookViewId="0">
      <selection activeCell="E5" sqref="E5"/>
    </sheetView>
  </sheetViews>
  <sheetFormatPr defaultColWidth="17.140625" defaultRowHeight="12.75" x14ac:dyDescent="0.2"/>
  <cols>
    <col min="1" max="1" width="10.85546875" style="1" customWidth="1"/>
    <col min="2" max="2" width="79.28515625" style="1" customWidth="1"/>
    <col min="3" max="3" width="30" style="1" customWidth="1"/>
    <col min="4" max="4" width="107.7109375" style="1" customWidth="1"/>
    <col min="5" max="5" width="62.42578125" style="1" customWidth="1"/>
    <col min="6" max="6" width="37.42578125" style="1" customWidth="1"/>
    <col min="7" max="9" width="17.140625" style="1" customWidth="1"/>
    <col min="10" max="16384" width="17.140625" style="1"/>
  </cols>
  <sheetData>
    <row r="2" spans="1:18" ht="45" customHeight="1" x14ac:dyDescent="0.2"/>
    <row r="3" spans="1:18" ht="48" customHeight="1" x14ac:dyDescent="0.2">
      <c r="A3" s="17"/>
      <c r="B3" s="19" t="s">
        <v>107</v>
      </c>
      <c r="C3" s="28"/>
      <c r="D3" s="17" t="s">
        <v>108</v>
      </c>
      <c r="E3" s="17"/>
    </row>
    <row r="4" spans="1:18" s="6" customFormat="1" ht="38.1" customHeight="1" x14ac:dyDescent="0.25">
      <c r="A4" s="18" t="s">
        <v>109</v>
      </c>
      <c r="B4" s="18" t="s">
        <v>110</v>
      </c>
      <c r="C4" s="18" t="s">
        <v>111</v>
      </c>
      <c r="D4" s="18" t="s">
        <v>112</v>
      </c>
      <c r="E4" s="18" t="s">
        <v>113</v>
      </c>
      <c r="F4" s="4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s="3" customFormat="1" ht="209.1" customHeight="1" x14ac:dyDescent="0.2">
      <c r="A5" s="23" t="s">
        <v>19</v>
      </c>
      <c r="B5" s="21" t="s">
        <v>114</v>
      </c>
      <c r="C5" s="21">
        <v>20</v>
      </c>
      <c r="D5" s="22" t="s">
        <v>115</v>
      </c>
      <c r="E5" s="23" t="s">
        <v>116</v>
      </c>
      <c r="F5" s="46"/>
    </row>
    <row r="6" spans="1:18" s="3" customFormat="1" ht="132.94999999999999" customHeight="1" x14ac:dyDescent="0.2">
      <c r="A6" s="23" t="s">
        <v>1</v>
      </c>
      <c r="B6" s="21" t="s">
        <v>117</v>
      </c>
      <c r="C6" s="21">
        <v>20</v>
      </c>
      <c r="D6" s="21" t="s">
        <v>118</v>
      </c>
      <c r="E6" s="23" t="s">
        <v>116</v>
      </c>
      <c r="F6" s="8"/>
    </row>
    <row r="7" spans="1:18" s="3" customFormat="1" ht="171" customHeight="1" x14ac:dyDescent="0.2">
      <c r="A7" s="23" t="s">
        <v>119</v>
      </c>
      <c r="B7" s="21" t="s">
        <v>120</v>
      </c>
      <c r="C7" s="21">
        <v>20</v>
      </c>
      <c r="D7" s="21" t="s">
        <v>121</v>
      </c>
      <c r="E7" s="23"/>
      <c r="F7" s="8"/>
    </row>
    <row r="8" spans="1:18" s="3" customFormat="1" ht="95.1" customHeight="1" x14ac:dyDescent="0.2">
      <c r="A8" s="23" t="s">
        <v>122</v>
      </c>
      <c r="B8" s="21" t="s">
        <v>123</v>
      </c>
      <c r="C8" s="21">
        <v>20</v>
      </c>
      <c r="D8" s="21" t="s">
        <v>124</v>
      </c>
      <c r="E8" s="23"/>
      <c r="F8" s="8"/>
    </row>
    <row r="9" spans="1:18" s="3" customFormat="1" ht="132.94999999999999" customHeight="1" x14ac:dyDescent="0.2">
      <c r="A9" s="23" t="s">
        <v>125</v>
      </c>
      <c r="B9" s="21" t="s">
        <v>126</v>
      </c>
      <c r="C9" s="21">
        <v>20</v>
      </c>
      <c r="D9" s="21" t="s">
        <v>127</v>
      </c>
      <c r="E9" s="23"/>
      <c r="F9" s="8"/>
    </row>
    <row r="10" spans="1:18" s="3" customFormat="1" ht="18" customHeight="1" x14ac:dyDescent="0.2">
      <c r="A10" s="23"/>
      <c r="B10" s="21"/>
      <c r="C10" s="21"/>
      <c r="D10" s="21"/>
      <c r="E10" s="23"/>
      <c r="F10" s="8"/>
    </row>
    <row r="11" spans="1:18" s="3" customFormat="1" ht="18" customHeight="1" x14ac:dyDescent="0.2">
      <c r="A11" s="23"/>
      <c r="B11" s="21"/>
      <c r="C11" s="21"/>
      <c r="D11" s="21"/>
      <c r="E11" s="23"/>
      <c r="F11" s="8"/>
    </row>
    <row r="12" spans="1:18" s="3" customFormat="1" ht="18" customHeight="1" x14ac:dyDescent="0.2">
      <c r="A12" s="23"/>
      <c r="B12" s="21"/>
      <c r="C12" s="21"/>
      <c r="D12" s="21"/>
      <c r="E12" s="23"/>
      <c r="F12" s="8"/>
    </row>
    <row r="13" spans="1:18" s="3" customFormat="1" ht="18" customHeight="1" x14ac:dyDescent="0.2">
      <c r="A13" s="23"/>
      <c r="B13" s="21"/>
      <c r="C13" s="21"/>
      <c r="D13" s="21"/>
      <c r="E13" s="23"/>
      <c r="F13" s="8"/>
    </row>
    <row r="14" spans="1:18" s="3" customFormat="1" ht="18" customHeight="1" x14ac:dyDescent="0.2">
      <c r="A14" s="23"/>
      <c r="B14" s="21"/>
      <c r="C14" s="21"/>
      <c r="D14" s="21"/>
      <c r="E14" s="23"/>
      <c r="F14" s="8"/>
    </row>
    <row r="15" spans="1:18" x14ac:dyDescent="0.2">
      <c r="E15" s="2"/>
    </row>
    <row r="16" spans="1:18" x14ac:dyDescent="0.2">
      <c r="B16" s="27"/>
      <c r="C16" s="27"/>
      <c r="D16" s="27"/>
      <c r="E16" s="2"/>
    </row>
    <row r="17" spans="2:5" x14ac:dyDescent="0.2">
      <c r="B17" s="27"/>
      <c r="C17" s="27"/>
      <c r="D17" s="27"/>
      <c r="E17" s="2"/>
    </row>
    <row r="18" spans="2:5" x14ac:dyDescent="0.2">
      <c r="B18" s="27"/>
      <c r="C18" s="27"/>
      <c r="D18" s="27"/>
      <c r="E18" s="2"/>
    </row>
    <row r="19" spans="2:5" x14ac:dyDescent="0.2">
      <c r="E19" s="2"/>
    </row>
    <row r="20" spans="2:5" x14ac:dyDescent="0.2">
      <c r="E20" s="2"/>
    </row>
    <row r="21" spans="2:5" x14ac:dyDescent="0.2">
      <c r="E21" s="2"/>
    </row>
    <row r="22" spans="2:5" x14ac:dyDescent="0.2">
      <c r="E22" s="2"/>
    </row>
    <row r="23" spans="2:5" x14ac:dyDescent="0.2">
      <c r="E23" s="2"/>
    </row>
    <row r="24" spans="2:5" x14ac:dyDescent="0.2">
      <c r="E24" s="2"/>
    </row>
    <row r="25" spans="2:5" x14ac:dyDescent="0.2">
      <c r="E25" s="2"/>
    </row>
    <row r="26" spans="2:5" x14ac:dyDescent="0.2">
      <c r="E26" s="2"/>
    </row>
    <row r="27" spans="2:5" x14ac:dyDescent="0.2">
      <c r="E27" s="2"/>
    </row>
    <row r="28" spans="2:5" x14ac:dyDescent="0.2">
      <c r="E28" s="2"/>
    </row>
    <row r="29" spans="2:5" x14ac:dyDescent="0.2">
      <c r="E29" s="2"/>
    </row>
    <row r="30" spans="2:5" x14ac:dyDescent="0.2">
      <c r="E30" s="2"/>
    </row>
    <row r="31" spans="2:5" x14ac:dyDescent="0.2">
      <c r="E31" s="2"/>
    </row>
    <row r="32" spans="2:5" x14ac:dyDescent="0.2">
      <c r="E32" s="2"/>
    </row>
    <row r="33" spans="5:5" x14ac:dyDescent="0.2">
      <c r="E33" s="2"/>
    </row>
    <row r="34" spans="5:5" x14ac:dyDescent="0.2">
      <c r="E34" s="2"/>
    </row>
    <row r="35" spans="5:5" x14ac:dyDescent="0.2">
      <c r="E35" s="2"/>
    </row>
    <row r="36" spans="5:5" x14ac:dyDescent="0.2">
      <c r="E36" s="2"/>
    </row>
    <row r="37" spans="5:5" x14ac:dyDescent="0.2">
      <c r="E37" s="2"/>
    </row>
    <row r="38" spans="5:5" x14ac:dyDescent="0.2">
      <c r="E38" s="2"/>
    </row>
    <row r="39" spans="5:5" x14ac:dyDescent="0.2">
      <c r="E39" s="2"/>
    </row>
    <row r="40" spans="5:5" x14ac:dyDescent="0.2">
      <c r="E40" s="2"/>
    </row>
    <row r="41" spans="5:5" x14ac:dyDescent="0.2">
      <c r="E41" s="2"/>
    </row>
    <row r="42" spans="5:5" x14ac:dyDescent="0.2">
      <c r="E42" s="2"/>
    </row>
    <row r="43" spans="5:5" x14ac:dyDescent="0.2">
      <c r="E43" s="2"/>
    </row>
    <row r="44" spans="5:5" x14ac:dyDescent="0.2">
      <c r="E44" s="2"/>
    </row>
    <row r="45" spans="5:5" x14ac:dyDescent="0.2">
      <c r="E45" s="2"/>
    </row>
    <row r="46" spans="5:5" x14ac:dyDescent="0.2">
      <c r="E46" s="2"/>
    </row>
    <row r="47" spans="5:5" x14ac:dyDescent="0.2">
      <c r="E47" s="2"/>
    </row>
    <row r="48" spans="5:5" x14ac:dyDescent="0.2">
      <c r="E48" s="2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  <row r="54" spans="5:5" x14ac:dyDescent="0.2">
      <c r="E54" s="2"/>
    </row>
    <row r="55" spans="5:5" x14ac:dyDescent="0.2">
      <c r="E55" s="2"/>
    </row>
    <row r="56" spans="5:5" x14ac:dyDescent="0.2">
      <c r="E56" s="2"/>
    </row>
    <row r="57" spans="5:5" x14ac:dyDescent="0.2">
      <c r="E57" s="2"/>
    </row>
    <row r="58" spans="5:5" x14ac:dyDescent="0.2">
      <c r="E58" s="2"/>
    </row>
    <row r="59" spans="5:5" x14ac:dyDescent="0.2">
      <c r="E59" s="2"/>
    </row>
    <row r="60" spans="5:5" x14ac:dyDescent="0.2">
      <c r="E60" s="2"/>
    </row>
    <row r="61" spans="5:5" x14ac:dyDescent="0.2">
      <c r="E61" s="2"/>
    </row>
    <row r="62" spans="5:5" x14ac:dyDescent="0.2">
      <c r="E62" s="2"/>
    </row>
    <row r="63" spans="5:5" x14ac:dyDescent="0.2">
      <c r="E63" s="2"/>
    </row>
    <row r="64" spans="5:5" x14ac:dyDescent="0.2">
      <c r="E64" s="2"/>
    </row>
    <row r="65" spans="5:5" x14ac:dyDescent="0.2">
      <c r="E65" s="2"/>
    </row>
    <row r="66" spans="5:5" x14ac:dyDescent="0.2">
      <c r="E66" s="2"/>
    </row>
    <row r="67" spans="5:5" x14ac:dyDescent="0.2">
      <c r="E67" s="2"/>
    </row>
    <row r="68" spans="5:5" x14ac:dyDescent="0.2">
      <c r="E68" s="2"/>
    </row>
    <row r="69" spans="5:5" x14ac:dyDescent="0.2">
      <c r="E69" s="2"/>
    </row>
    <row r="70" spans="5:5" x14ac:dyDescent="0.2">
      <c r="E70" s="2"/>
    </row>
    <row r="71" spans="5:5" x14ac:dyDescent="0.2">
      <c r="E71" s="2"/>
    </row>
    <row r="72" spans="5:5" x14ac:dyDescent="0.2">
      <c r="E72" s="2"/>
    </row>
    <row r="73" spans="5:5" x14ac:dyDescent="0.2">
      <c r="E73" s="2"/>
    </row>
    <row r="74" spans="5:5" x14ac:dyDescent="0.2">
      <c r="E74" s="2"/>
    </row>
    <row r="75" spans="5:5" x14ac:dyDescent="0.2">
      <c r="E75" s="2"/>
    </row>
    <row r="76" spans="5:5" x14ac:dyDescent="0.2">
      <c r="E76" s="2"/>
    </row>
    <row r="77" spans="5:5" x14ac:dyDescent="0.2">
      <c r="E77" s="2"/>
    </row>
    <row r="78" spans="5:5" x14ac:dyDescent="0.2">
      <c r="E78" s="2"/>
    </row>
    <row r="79" spans="5:5" x14ac:dyDescent="0.2">
      <c r="E79" s="2"/>
    </row>
    <row r="80" spans="5:5" x14ac:dyDescent="0.2">
      <c r="E80" s="2"/>
    </row>
    <row r="81" spans="5:5" x14ac:dyDescent="0.2">
      <c r="E81" s="2"/>
    </row>
    <row r="82" spans="5:5" x14ac:dyDescent="0.2">
      <c r="E82" s="2"/>
    </row>
    <row r="83" spans="5:5" x14ac:dyDescent="0.2">
      <c r="E83" s="2"/>
    </row>
    <row r="84" spans="5:5" x14ac:dyDescent="0.2">
      <c r="E84" s="2"/>
    </row>
    <row r="85" spans="5:5" x14ac:dyDescent="0.2">
      <c r="E85" s="2"/>
    </row>
    <row r="86" spans="5:5" x14ac:dyDescent="0.2">
      <c r="E86" s="2"/>
    </row>
    <row r="87" spans="5:5" x14ac:dyDescent="0.2">
      <c r="E87" s="2"/>
    </row>
    <row r="88" spans="5:5" x14ac:dyDescent="0.2">
      <c r="E88" s="2"/>
    </row>
    <row r="89" spans="5:5" x14ac:dyDescent="0.2">
      <c r="E89" s="2"/>
    </row>
    <row r="90" spans="5:5" x14ac:dyDescent="0.2">
      <c r="E90" s="2"/>
    </row>
    <row r="91" spans="5:5" x14ac:dyDescent="0.2">
      <c r="E91" s="2"/>
    </row>
    <row r="92" spans="5:5" x14ac:dyDescent="0.2">
      <c r="E92" s="2"/>
    </row>
    <row r="93" spans="5:5" x14ac:dyDescent="0.2">
      <c r="E93" s="2"/>
    </row>
    <row r="94" spans="5:5" x14ac:dyDescent="0.2">
      <c r="E94" s="2"/>
    </row>
    <row r="95" spans="5:5" x14ac:dyDescent="0.2">
      <c r="E95" s="2"/>
    </row>
    <row r="96" spans="5:5" x14ac:dyDescent="0.2">
      <c r="E96" s="2"/>
    </row>
    <row r="97" spans="5:5" x14ac:dyDescent="0.2">
      <c r="E97" s="2"/>
    </row>
    <row r="98" spans="5:5" x14ac:dyDescent="0.2">
      <c r="E98" s="2"/>
    </row>
    <row r="99" spans="5:5" x14ac:dyDescent="0.2">
      <c r="E99" s="2"/>
    </row>
    <row r="100" spans="5:5" x14ac:dyDescent="0.2">
      <c r="E100" s="2"/>
    </row>
    <row r="101" spans="5:5" x14ac:dyDescent="0.2">
      <c r="E101" s="2"/>
    </row>
    <row r="102" spans="5:5" x14ac:dyDescent="0.2">
      <c r="E102" s="2"/>
    </row>
    <row r="103" spans="5:5" x14ac:dyDescent="0.2">
      <c r="E103" s="2"/>
    </row>
    <row r="104" spans="5:5" x14ac:dyDescent="0.2">
      <c r="E104" s="2"/>
    </row>
    <row r="105" spans="5:5" x14ac:dyDescent="0.2">
      <c r="E105" s="2"/>
    </row>
    <row r="106" spans="5:5" x14ac:dyDescent="0.2">
      <c r="E106" s="2"/>
    </row>
    <row r="107" spans="5:5" x14ac:dyDescent="0.2">
      <c r="E107" s="2"/>
    </row>
    <row r="108" spans="5:5" x14ac:dyDescent="0.2">
      <c r="E108" s="2"/>
    </row>
    <row r="109" spans="5:5" x14ac:dyDescent="0.2">
      <c r="E109" s="2"/>
    </row>
    <row r="110" spans="5:5" x14ac:dyDescent="0.2">
      <c r="E110" s="2"/>
    </row>
    <row r="111" spans="5:5" x14ac:dyDescent="0.2">
      <c r="E111" s="2"/>
    </row>
    <row r="112" spans="5:5" x14ac:dyDescent="0.2">
      <c r="E112" s="2"/>
    </row>
    <row r="113" spans="5:5" x14ac:dyDescent="0.2">
      <c r="E113" s="2"/>
    </row>
    <row r="114" spans="5:5" x14ac:dyDescent="0.2">
      <c r="E114" s="2"/>
    </row>
    <row r="115" spans="5:5" x14ac:dyDescent="0.2">
      <c r="E115" s="2"/>
    </row>
    <row r="116" spans="5:5" x14ac:dyDescent="0.2">
      <c r="E116" s="2"/>
    </row>
    <row r="117" spans="5:5" x14ac:dyDescent="0.2">
      <c r="E117" s="2"/>
    </row>
    <row r="118" spans="5:5" x14ac:dyDescent="0.2">
      <c r="E118" s="2"/>
    </row>
    <row r="119" spans="5:5" x14ac:dyDescent="0.2">
      <c r="E119" s="2"/>
    </row>
  </sheetData>
  <mergeCells count="1">
    <mergeCell ref="F4:F5"/>
  </mergeCells>
  <conditionalFormatting sqref="A4 A6:A119">
    <cfRule type="cellIs" dxfId="15" priority="13" stopIfTrue="1" operator="equal">
      <formula>"1 - Immediate"</formula>
    </cfRule>
    <cfRule type="containsText" dxfId="14" priority="14" stopIfTrue="1" operator="containsText" text="2 - High">
      <formula>NOT(ISERROR(SEARCH("2 - High", A4)))</formula>
    </cfRule>
    <cfRule type="containsText" dxfId="13" priority="15" stopIfTrue="1" operator="containsText" text="3 - Medium">
      <formula>NOT(ISERROR(SEARCH("3 - Medium", A4)))</formula>
    </cfRule>
    <cfRule type="containsText" dxfId="12" priority="16" stopIfTrue="1" operator="containsText" text="4 - Nice to have">
      <formula>NOT(ISERROR(SEARCH("4 - Nice to have", A4)))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9"/>
  <sheetViews>
    <sheetView topLeftCell="B4" zoomScale="70" zoomScaleNormal="70" workbookViewId="0">
      <selection activeCell="C8" sqref="C8:C9"/>
    </sheetView>
  </sheetViews>
  <sheetFormatPr defaultColWidth="17.140625" defaultRowHeight="12.75" customHeight="1" x14ac:dyDescent="0.2"/>
  <cols>
    <col min="1" max="1" width="32.42578125" style="1" customWidth="1"/>
    <col min="2" max="2" width="68.85546875" style="1" customWidth="1"/>
    <col min="3" max="3" width="92.28515625" style="1" customWidth="1"/>
    <col min="4" max="4" width="36.140625" style="1" customWidth="1"/>
    <col min="5" max="5" width="47.140625" style="1" customWidth="1"/>
    <col min="6" max="6" width="34.28515625" style="1" customWidth="1"/>
    <col min="7" max="7" width="37.42578125" style="1" customWidth="1"/>
    <col min="8" max="10" width="17.140625" style="1" customWidth="1"/>
    <col min="11" max="16384" width="17.140625" style="1"/>
  </cols>
  <sheetData>
    <row r="1" spans="1:19" s="3" customFormat="1" ht="18" customHeight="1" x14ac:dyDescent="0.2">
      <c r="A1" s="8"/>
      <c r="B1" s="8"/>
      <c r="C1" s="8"/>
      <c r="D1" s="8"/>
      <c r="E1" s="8"/>
      <c r="F1" s="9"/>
      <c r="G1" s="8"/>
    </row>
    <row r="2" spans="1:19" s="3" customFormat="1" ht="95.1" customHeight="1" x14ac:dyDescent="0.2">
      <c r="A2" s="8"/>
      <c r="B2" s="20" t="s">
        <v>128</v>
      </c>
      <c r="C2" s="26" t="s">
        <v>129</v>
      </c>
      <c r="D2" s="8"/>
      <c r="E2" s="8"/>
      <c r="F2" s="9"/>
      <c r="G2" s="8"/>
    </row>
    <row r="3" spans="1:19" s="3" customFormat="1" ht="18" customHeight="1" x14ac:dyDescent="0.2">
      <c r="A3" s="8"/>
      <c r="B3" s="15"/>
      <c r="C3" s="14"/>
      <c r="D3" s="14"/>
      <c r="E3" s="8"/>
      <c r="F3" s="9"/>
      <c r="G3" s="8"/>
    </row>
    <row r="4" spans="1:19" s="3" customFormat="1" ht="23.1" customHeight="1" x14ac:dyDescent="0.2">
      <c r="A4" s="8"/>
      <c r="B4" s="17"/>
      <c r="C4" s="26" t="s">
        <v>130</v>
      </c>
      <c r="F4" s="9"/>
      <c r="G4" s="8"/>
    </row>
    <row r="5" spans="1:19" s="3" customFormat="1" ht="18" customHeight="1" x14ac:dyDescent="0.2">
      <c r="A5" s="8"/>
      <c r="B5" s="15"/>
      <c r="C5" s="16"/>
      <c r="D5" s="16"/>
      <c r="E5" s="16"/>
      <c r="F5" s="9"/>
      <c r="G5" s="8"/>
    </row>
    <row r="6" spans="1:19" s="3" customFormat="1" ht="18" customHeight="1" x14ac:dyDescent="0.2">
      <c r="A6" s="8"/>
      <c r="B6" s="15"/>
      <c r="C6" s="16"/>
      <c r="D6" s="16"/>
      <c r="E6" s="16"/>
      <c r="F6" s="9"/>
      <c r="G6" s="8"/>
    </row>
    <row r="7" spans="1:19" s="3" customFormat="1" ht="18" customHeight="1" x14ac:dyDescent="0.2">
      <c r="A7" s="8"/>
      <c r="B7" s="8"/>
      <c r="C7" s="8"/>
      <c r="D7" s="8"/>
      <c r="E7" s="8"/>
      <c r="F7" s="9"/>
      <c r="G7" s="8"/>
    </row>
    <row r="8" spans="1:19" s="3" customFormat="1" ht="96" customHeight="1" x14ac:dyDescent="0.2">
      <c r="A8" s="17" t="s">
        <v>131</v>
      </c>
      <c r="B8" s="4" t="s">
        <v>132</v>
      </c>
      <c r="C8" s="17"/>
      <c r="D8" s="17" t="s">
        <v>133</v>
      </c>
      <c r="E8" s="8"/>
      <c r="G8" s="8"/>
    </row>
    <row r="9" spans="1:19" s="6" customFormat="1" ht="18.95" customHeight="1" x14ac:dyDescent="0.25">
      <c r="A9" s="10"/>
      <c r="B9" s="10" t="s">
        <v>110</v>
      </c>
      <c r="C9" s="10" t="s">
        <v>134</v>
      </c>
      <c r="D9" s="10" t="s">
        <v>135</v>
      </c>
      <c r="E9" s="10" t="s">
        <v>136</v>
      </c>
      <c r="G9" s="4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s="8" customFormat="1" ht="33.75" customHeight="1" x14ac:dyDescent="0.2">
      <c r="A10" s="8" t="str">
        <f>'Product Backlog'!A5</f>
        <v>HU-01</v>
      </c>
      <c r="B10" s="47" t="str">
        <f>'Product Backlog'!B5</f>
        <v>Como visitante del sistema, quiero crear una cuenta proporcionando mis datos personales y credenciales, para acceder a las funcionalidades disponibles para usuarios registrados.</v>
      </c>
      <c r="C10" s="13" t="s">
        <v>137</v>
      </c>
      <c r="D10" s="7">
        <v>20</v>
      </c>
      <c r="E10" s="11" t="s">
        <v>138</v>
      </c>
      <c r="G10" s="50"/>
    </row>
    <row r="11" spans="1:19" s="8" customFormat="1" ht="18.95" customHeight="1" x14ac:dyDescent="0.2">
      <c r="B11" s="48"/>
      <c r="C11" s="13" t="s">
        <v>139</v>
      </c>
      <c r="D11" s="7">
        <v>40</v>
      </c>
      <c r="E11" s="11" t="s">
        <v>138</v>
      </c>
    </row>
    <row r="12" spans="1:19" s="8" customFormat="1" ht="18.95" customHeight="1" x14ac:dyDescent="0.2">
      <c r="B12" s="48"/>
      <c r="C12" s="13" t="s">
        <v>140</v>
      </c>
      <c r="D12" s="7">
        <v>20</v>
      </c>
      <c r="E12" s="11" t="s">
        <v>138</v>
      </c>
    </row>
    <row r="13" spans="1:19" s="8" customFormat="1" ht="18.95" customHeight="1" x14ac:dyDescent="0.2">
      <c r="B13" s="48"/>
      <c r="C13" s="13" t="s">
        <v>141</v>
      </c>
      <c r="D13" s="7">
        <v>10</v>
      </c>
      <c r="E13" s="11" t="s">
        <v>138</v>
      </c>
    </row>
    <row r="14" spans="1:19" s="8" customFormat="1" ht="21" customHeight="1" x14ac:dyDescent="0.2">
      <c r="B14" s="49"/>
      <c r="C14" s="25" t="s">
        <v>142</v>
      </c>
      <c r="D14" s="24">
        <f>D10+D11+D12+D13</f>
        <v>90</v>
      </c>
      <c r="E14" s="11"/>
    </row>
    <row r="15" spans="1:19" s="8" customFormat="1" ht="33.75" customHeight="1" x14ac:dyDescent="0.2">
      <c r="A15" s="8" t="str">
        <f>'Product Backlog'!A6</f>
        <v>HU-02</v>
      </c>
      <c r="B15" s="47" t="str">
        <f>'Product Backlog'!B6</f>
        <v>Como usuario registrado, quiero iniciar sesión mediante mi correo y contraseña, para acceder a un área privada del sistema.</v>
      </c>
      <c r="C15" s="13" t="s">
        <v>137</v>
      </c>
      <c r="D15" s="7">
        <v>20</v>
      </c>
      <c r="E15" s="11" t="s">
        <v>138</v>
      </c>
    </row>
    <row r="16" spans="1:19" s="8" customFormat="1" ht="18.95" customHeight="1" x14ac:dyDescent="0.2">
      <c r="B16" s="48"/>
      <c r="C16" s="13" t="s">
        <v>139</v>
      </c>
      <c r="D16" s="7">
        <v>40</v>
      </c>
      <c r="E16" s="11" t="s">
        <v>138</v>
      </c>
    </row>
    <row r="17" spans="2:6" s="8" customFormat="1" ht="18.95" customHeight="1" x14ac:dyDescent="0.2">
      <c r="B17" s="48"/>
      <c r="C17" s="13" t="s">
        <v>140</v>
      </c>
      <c r="D17" s="7">
        <v>20</v>
      </c>
      <c r="E17" s="11" t="s">
        <v>138</v>
      </c>
    </row>
    <row r="18" spans="2:6" s="8" customFormat="1" ht="18.95" customHeight="1" x14ac:dyDescent="0.2">
      <c r="B18" s="48"/>
      <c r="C18" s="13" t="s">
        <v>141</v>
      </c>
      <c r="D18" s="7">
        <v>10</v>
      </c>
      <c r="E18" s="11" t="s">
        <v>138</v>
      </c>
    </row>
    <row r="19" spans="2:6" s="8" customFormat="1" ht="21" customHeight="1" x14ac:dyDescent="0.2">
      <c r="B19" s="49"/>
      <c r="C19" s="25" t="s">
        <v>142</v>
      </c>
      <c r="D19" s="24">
        <f>D15+D16+D17+D18</f>
        <v>90</v>
      </c>
      <c r="E19" s="11"/>
    </row>
    <row r="20" spans="2:6" s="8" customFormat="1" ht="18" customHeight="1" x14ac:dyDescent="0.2">
      <c r="F20" s="9"/>
    </row>
    <row r="21" spans="2:6" ht="12.95" customHeight="1" x14ac:dyDescent="0.2">
      <c r="F21" s="2"/>
    </row>
    <row r="22" spans="2:6" ht="12.95" customHeight="1" x14ac:dyDescent="0.2">
      <c r="F22" s="2"/>
    </row>
    <row r="23" spans="2:6" ht="12.95" customHeight="1" x14ac:dyDescent="0.2">
      <c r="F23" s="2"/>
    </row>
    <row r="24" spans="2:6" ht="12.95" customHeight="1" x14ac:dyDescent="0.2">
      <c r="F24" s="2"/>
    </row>
    <row r="25" spans="2:6" ht="12.95" customHeight="1" x14ac:dyDescent="0.2">
      <c r="F25" s="2"/>
    </row>
    <row r="26" spans="2:6" ht="12.95" customHeight="1" x14ac:dyDescent="0.2">
      <c r="F26" s="2"/>
    </row>
    <row r="27" spans="2:6" ht="12.95" customHeight="1" x14ac:dyDescent="0.2">
      <c r="F27" s="2"/>
    </row>
    <row r="28" spans="2:6" ht="12.95" customHeight="1" x14ac:dyDescent="0.2">
      <c r="F28" s="2"/>
    </row>
    <row r="29" spans="2:6" ht="12.95" customHeight="1" x14ac:dyDescent="0.2">
      <c r="F29" s="2"/>
    </row>
    <row r="30" spans="2:6" ht="12.95" customHeight="1" x14ac:dyDescent="0.2">
      <c r="F30" s="2"/>
    </row>
    <row r="31" spans="2:6" ht="12.95" customHeight="1" x14ac:dyDescent="0.2">
      <c r="F31" s="2"/>
    </row>
    <row r="32" spans="2:6" ht="12.95" customHeight="1" x14ac:dyDescent="0.2">
      <c r="F32" s="2"/>
    </row>
    <row r="33" spans="6:6" ht="12.95" customHeight="1" x14ac:dyDescent="0.2">
      <c r="F33" s="2"/>
    </row>
    <row r="34" spans="6:6" ht="12.95" customHeight="1" x14ac:dyDescent="0.2">
      <c r="F34" s="2"/>
    </row>
    <row r="35" spans="6:6" ht="12.95" customHeight="1" x14ac:dyDescent="0.2">
      <c r="F35" s="2"/>
    </row>
    <row r="36" spans="6:6" ht="12.95" customHeight="1" x14ac:dyDescent="0.2">
      <c r="F36" s="2"/>
    </row>
    <row r="37" spans="6:6" ht="12.95" customHeight="1" x14ac:dyDescent="0.2">
      <c r="F37" s="2"/>
    </row>
    <row r="38" spans="6:6" ht="12.95" customHeight="1" x14ac:dyDescent="0.2">
      <c r="F38" s="2"/>
    </row>
    <row r="39" spans="6:6" ht="12.95" customHeight="1" x14ac:dyDescent="0.2">
      <c r="F39" s="2"/>
    </row>
    <row r="40" spans="6:6" ht="12.95" customHeight="1" x14ac:dyDescent="0.2">
      <c r="F40" s="2"/>
    </row>
    <row r="41" spans="6:6" ht="12.95" customHeight="1" x14ac:dyDescent="0.2">
      <c r="F41" s="2"/>
    </row>
    <row r="42" spans="6:6" ht="12.95" customHeight="1" x14ac:dyDescent="0.2">
      <c r="F42" s="2"/>
    </row>
    <row r="43" spans="6:6" ht="12.95" customHeight="1" x14ac:dyDescent="0.2">
      <c r="F43" s="2"/>
    </row>
    <row r="44" spans="6:6" ht="12.95" customHeight="1" x14ac:dyDescent="0.2">
      <c r="F44" s="2"/>
    </row>
    <row r="45" spans="6:6" ht="12.95" customHeight="1" x14ac:dyDescent="0.2">
      <c r="F45" s="2"/>
    </row>
    <row r="46" spans="6:6" ht="12.95" customHeight="1" x14ac:dyDescent="0.2">
      <c r="F46" s="2"/>
    </row>
    <row r="47" spans="6:6" ht="12.95" customHeight="1" x14ac:dyDescent="0.2">
      <c r="F47" s="2"/>
    </row>
    <row r="48" spans="6:6" ht="12.95" customHeight="1" x14ac:dyDescent="0.2">
      <c r="F48" s="2"/>
    </row>
    <row r="49" spans="6:6" ht="12.95" customHeight="1" x14ac:dyDescent="0.2">
      <c r="F49" s="2"/>
    </row>
    <row r="50" spans="6:6" ht="12.95" customHeight="1" x14ac:dyDescent="0.2">
      <c r="F50" s="2"/>
    </row>
    <row r="51" spans="6:6" ht="12.95" customHeight="1" x14ac:dyDescent="0.2">
      <c r="F51" s="2"/>
    </row>
    <row r="52" spans="6:6" ht="12.95" customHeight="1" x14ac:dyDescent="0.2">
      <c r="F52" s="2"/>
    </row>
    <row r="53" spans="6:6" ht="12.95" customHeight="1" x14ac:dyDescent="0.2">
      <c r="F53" s="2"/>
    </row>
    <row r="54" spans="6:6" ht="12.95" customHeight="1" x14ac:dyDescent="0.2">
      <c r="F54" s="2"/>
    </row>
    <row r="55" spans="6:6" ht="12.95" customHeight="1" x14ac:dyDescent="0.2">
      <c r="F55" s="2"/>
    </row>
    <row r="56" spans="6:6" ht="12.95" customHeight="1" x14ac:dyDescent="0.2">
      <c r="F56" s="2"/>
    </row>
    <row r="57" spans="6:6" ht="12.95" customHeight="1" x14ac:dyDescent="0.2">
      <c r="F57" s="2"/>
    </row>
    <row r="58" spans="6:6" ht="12.95" customHeight="1" x14ac:dyDescent="0.2">
      <c r="F58" s="2"/>
    </row>
    <row r="59" spans="6:6" ht="12.95" customHeight="1" x14ac:dyDescent="0.2">
      <c r="F59" s="2"/>
    </row>
    <row r="60" spans="6:6" ht="12.95" customHeight="1" x14ac:dyDescent="0.2">
      <c r="F60" s="2"/>
    </row>
    <row r="61" spans="6:6" ht="12.95" customHeight="1" x14ac:dyDescent="0.2">
      <c r="F61" s="2"/>
    </row>
    <row r="62" spans="6:6" ht="12.95" customHeight="1" x14ac:dyDescent="0.2">
      <c r="F62" s="2"/>
    </row>
    <row r="63" spans="6:6" ht="12.95" customHeight="1" x14ac:dyDescent="0.2">
      <c r="F63" s="2"/>
    </row>
    <row r="64" spans="6:6" ht="12.95" customHeight="1" x14ac:dyDescent="0.2">
      <c r="F64" s="2"/>
    </row>
    <row r="65" spans="6:6" ht="12.95" customHeight="1" x14ac:dyDescent="0.2">
      <c r="F65" s="2"/>
    </row>
    <row r="66" spans="6:6" ht="12.95" customHeight="1" x14ac:dyDescent="0.2">
      <c r="F66" s="2"/>
    </row>
    <row r="67" spans="6:6" ht="12.95" customHeight="1" x14ac:dyDescent="0.2">
      <c r="F67" s="2"/>
    </row>
    <row r="68" spans="6:6" ht="12.95" customHeight="1" x14ac:dyDescent="0.2">
      <c r="F68" s="2"/>
    </row>
    <row r="69" spans="6:6" ht="12.95" customHeight="1" x14ac:dyDescent="0.2">
      <c r="F69" s="2"/>
    </row>
    <row r="70" spans="6:6" ht="12.95" customHeight="1" x14ac:dyDescent="0.2">
      <c r="F70" s="2"/>
    </row>
    <row r="71" spans="6:6" ht="12.95" customHeight="1" x14ac:dyDescent="0.2">
      <c r="F71" s="2"/>
    </row>
    <row r="72" spans="6:6" ht="12.95" customHeight="1" x14ac:dyDescent="0.2">
      <c r="F72" s="2"/>
    </row>
    <row r="73" spans="6:6" ht="12.95" customHeight="1" x14ac:dyDescent="0.2">
      <c r="F73" s="2"/>
    </row>
    <row r="74" spans="6:6" ht="12.95" customHeight="1" x14ac:dyDescent="0.2">
      <c r="F74" s="2"/>
    </row>
    <row r="75" spans="6:6" ht="12.95" customHeight="1" x14ac:dyDescent="0.2">
      <c r="F75" s="2"/>
    </row>
    <row r="76" spans="6:6" ht="12.95" customHeight="1" x14ac:dyDescent="0.2">
      <c r="F76" s="2"/>
    </row>
    <row r="77" spans="6:6" ht="12.95" customHeight="1" x14ac:dyDescent="0.2">
      <c r="F77" s="2"/>
    </row>
    <row r="78" spans="6:6" ht="12.95" customHeight="1" x14ac:dyDescent="0.2">
      <c r="F78" s="2"/>
    </row>
    <row r="79" spans="6:6" ht="12.95" customHeight="1" x14ac:dyDescent="0.2">
      <c r="F79" s="2"/>
    </row>
  </sheetData>
  <mergeCells count="3">
    <mergeCell ref="B10:B14"/>
    <mergeCell ref="G9:G10"/>
    <mergeCell ref="B15:B19"/>
  </mergeCells>
  <conditionalFormatting sqref="A1:A7 A9:A79">
    <cfRule type="cellIs" dxfId="11" priority="89" stopIfTrue="1" operator="equal">
      <formula>"1 - Immediate"</formula>
    </cfRule>
    <cfRule type="containsText" dxfId="10" priority="90" stopIfTrue="1" operator="containsText" text="2 - High">
      <formula>NOT(ISERROR(SEARCH("2 - High", A1)))</formula>
    </cfRule>
    <cfRule type="containsText" dxfId="9" priority="91" stopIfTrue="1" operator="containsText" text="3 - Medium">
      <formula>NOT(ISERROR(SEARCH("3 - Medium", A1)))</formula>
    </cfRule>
    <cfRule type="containsText" dxfId="8" priority="92" stopIfTrue="1" operator="containsText" text="4 - Nice to have">
      <formula>NOT(ISERROR(SEARCH("4 - Nice to have", A1)))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9"/>
  <sheetViews>
    <sheetView zoomScale="80" zoomScaleNormal="80" workbookViewId="0">
      <selection activeCell="E14" sqref="E14"/>
    </sheetView>
  </sheetViews>
  <sheetFormatPr defaultColWidth="17.140625" defaultRowHeight="12.75" x14ac:dyDescent="0.2"/>
  <cols>
    <col min="1" max="1" width="32.42578125" style="1" customWidth="1"/>
    <col min="2" max="2" width="68.85546875" style="1" customWidth="1"/>
    <col min="3" max="3" width="92.28515625" style="1" customWidth="1"/>
    <col min="4" max="4" width="36.140625" style="1" customWidth="1"/>
    <col min="5" max="5" width="67.140625" style="1" customWidth="1"/>
    <col min="6" max="6" width="34.28515625" style="1" customWidth="1"/>
    <col min="7" max="7" width="37.42578125" style="1" customWidth="1"/>
    <col min="8" max="10" width="17.140625" style="1" customWidth="1"/>
    <col min="11" max="16384" width="17.140625" style="1"/>
  </cols>
  <sheetData>
    <row r="1" spans="1:19" s="3" customFormat="1" ht="18" customHeight="1" x14ac:dyDescent="0.2">
      <c r="A1" s="8"/>
      <c r="B1" s="8"/>
      <c r="C1" s="8"/>
      <c r="D1" s="8"/>
      <c r="E1" s="8"/>
      <c r="F1" s="9"/>
      <c r="G1" s="8"/>
    </row>
    <row r="2" spans="1:19" s="3" customFormat="1" ht="36" customHeight="1" x14ac:dyDescent="0.2">
      <c r="A2" s="8"/>
      <c r="B2" s="20" t="s">
        <v>143</v>
      </c>
      <c r="C2" s="21" t="s">
        <v>144</v>
      </c>
      <c r="D2" s="8"/>
      <c r="E2" s="8"/>
      <c r="F2" s="9"/>
      <c r="G2" s="8"/>
    </row>
    <row r="3" spans="1:19" s="3" customFormat="1" ht="18" customHeight="1" x14ac:dyDescent="0.2">
      <c r="A3" s="8"/>
      <c r="B3" s="15"/>
      <c r="C3" s="14"/>
      <c r="D3" s="14"/>
      <c r="E3" s="8"/>
      <c r="F3" s="9"/>
      <c r="G3" s="8"/>
    </row>
    <row r="4" spans="1:19" s="3" customFormat="1" ht="23.1" customHeight="1" x14ac:dyDescent="0.2">
      <c r="A4" s="8"/>
      <c r="B4" s="17"/>
      <c r="C4" s="21" t="s">
        <v>145</v>
      </c>
      <c r="F4" s="9"/>
      <c r="G4" s="8"/>
    </row>
    <row r="5" spans="1:19" s="3" customFormat="1" ht="18" customHeight="1" x14ac:dyDescent="0.2">
      <c r="A5" s="8"/>
      <c r="B5" s="15"/>
      <c r="C5" s="16"/>
      <c r="D5" s="16"/>
      <c r="E5" s="16"/>
      <c r="F5" s="9"/>
      <c r="G5" s="8"/>
    </row>
    <row r="6" spans="1:19" s="3" customFormat="1" ht="18" customHeight="1" x14ac:dyDescent="0.2">
      <c r="A6" s="8"/>
      <c r="B6" s="15"/>
      <c r="C6" s="16"/>
      <c r="D6" s="16"/>
      <c r="E6" s="16"/>
      <c r="F6" s="9"/>
      <c r="G6" s="8"/>
    </row>
    <row r="7" spans="1:19" s="3" customFormat="1" ht="18" customHeight="1" x14ac:dyDescent="0.2">
      <c r="A7" s="8"/>
      <c r="B7" s="8"/>
      <c r="C7" s="8"/>
      <c r="D7" s="8"/>
      <c r="E7" s="8"/>
      <c r="F7" s="9"/>
      <c r="G7" s="8"/>
    </row>
    <row r="8" spans="1:19" s="3" customFormat="1" ht="96" customHeight="1" x14ac:dyDescent="0.2">
      <c r="A8" s="17" t="s">
        <v>131</v>
      </c>
      <c r="B8" s="4" t="s">
        <v>146</v>
      </c>
      <c r="C8" s="17"/>
      <c r="D8" s="17" t="s">
        <v>133</v>
      </c>
      <c r="E8" s="8"/>
      <c r="G8" s="8"/>
    </row>
    <row r="9" spans="1:19" s="6" customFormat="1" ht="18.95" customHeight="1" x14ac:dyDescent="0.25">
      <c r="A9" s="10"/>
      <c r="B9" s="10" t="s">
        <v>110</v>
      </c>
      <c r="C9" s="10" t="s">
        <v>134</v>
      </c>
      <c r="D9" s="10" t="s">
        <v>135</v>
      </c>
      <c r="E9" s="10" t="s">
        <v>147</v>
      </c>
      <c r="G9" s="4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s="8" customFormat="1" ht="33.75" customHeight="1" x14ac:dyDescent="0.2">
      <c r="B10" s="47" t="s">
        <v>148</v>
      </c>
      <c r="C10" s="13" t="s">
        <v>149</v>
      </c>
      <c r="D10" s="7">
        <v>0</v>
      </c>
      <c r="E10" s="11"/>
      <c r="G10" s="50"/>
    </row>
    <row r="11" spans="1:19" s="8" customFormat="1" ht="18.95" customHeight="1" x14ac:dyDescent="0.2">
      <c r="B11" s="48"/>
      <c r="C11" s="13" t="s">
        <v>150</v>
      </c>
      <c r="D11" s="7"/>
      <c r="E11" s="11"/>
    </row>
    <row r="12" spans="1:19" s="8" customFormat="1" ht="18.95" customHeight="1" x14ac:dyDescent="0.2">
      <c r="B12" s="48"/>
      <c r="C12" s="13" t="s">
        <v>151</v>
      </c>
      <c r="D12" s="7"/>
      <c r="E12" s="11"/>
    </row>
    <row r="13" spans="1:19" s="8" customFormat="1" ht="18.95" customHeight="1" x14ac:dyDescent="0.2">
      <c r="B13" s="48"/>
      <c r="C13" s="13" t="s">
        <v>152</v>
      </c>
      <c r="D13" s="7"/>
      <c r="E13" s="11"/>
    </row>
    <row r="14" spans="1:19" s="8" customFormat="1" ht="21" customHeight="1" x14ac:dyDescent="0.2">
      <c r="B14" s="49"/>
      <c r="C14" s="25" t="s">
        <v>142</v>
      </c>
      <c r="D14" s="24">
        <f>D10+D11+D12+D13</f>
        <v>0</v>
      </c>
      <c r="E14" s="12"/>
    </row>
    <row r="15" spans="1:19" s="8" customFormat="1" ht="33.75" customHeight="1" x14ac:dyDescent="0.2">
      <c r="B15" s="47" t="s">
        <v>153</v>
      </c>
      <c r="C15" s="13" t="s">
        <v>149</v>
      </c>
      <c r="D15" s="7">
        <v>0</v>
      </c>
      <c r="E15" s="11"/>
    </row>
    <row r="16" spans="1:19" s="8" customFormat="1" ht="18.95" customHeight="1" x14ac:dyDescent="0.2">
      <c r="B16" s="48"/>
      <c r="C16" s="13" t="s">
        <v>150</v>
      </c>
      <c r="D16" s="7"/>
      <c r="E16" s="11"/>
    </row>
    <row r="17" spans="2:5" s="8" customFormat="1" ht="18.95" customHeight="1" x14ac:dyDescent="0.2">
      <c r="B17" s="48"/>
      <c r="C17" s="13" t="s">
        <v>151</v>
      </c>
      <c r="D17" s="7"/>
      <c r="E17" s="11"/>
    </row>
    <row r="18" spans="2:5" s="8" customFormat="1" ht="18.95" customHeight="1" x14ac:dyDescent="0.2">
      <c r="B18" s="48"/>
      <c r="C18" s="13" t="s">
        <v>152</v>
      </c>
      <c r="D18" s="7"/>
      <c r="E18" s="11"/>
    </row>
    <row r="19" spans="2:5" s="8" customFormat="1" ht="21" customHeight="1" x14ac:dyDescent="0.2">
      <c r="B19" s="49"/>
      <c r="C19" s="25" t="s">
        <v>142</v>
      </c>
      <c r="D19" s="24">
        <f>D15+D16+D17+D18</f>
        <v>0</v>
      </c>
      <c r="E19" s="12"/>
    </row>
    <row r="20" spans="2:5" s="8" customFormat="1" ht="33.75" customHeight="1" x14ac:dyDescent="0.2">
      <c r="B20" s="47" t="s">
        <v>153</v>
      </c>
      <c r="C20" s="13" t="s">
        <v>149</v>
      </c>
      <c r="D20" s="7">
        <v>0</v>
      </c>
      <c r="E20" s="11"/>
    </row>
    <row r="21" spans="2:5" s="8" customFormat="1" ht="18.95" customHeight="1" x14ac:dyDescent="0.2">
      <c r="B21" s="48"/>
      <c r="C21" s="13" t="s">
        <v>150</v>
      </c>
      <c r="D21" s="7"/>
      <c r="E21" s="11"/>
    </row>
    <row r="22" spans="2:5" s="8" customFormat="1" ht="18.95" customHeight="1" x14ac:dyDescent="0.2">
      <c r="B22" s="48"/>
      <c r="C22" s="13" t="s">
        <v>151</v>
      </c>
      <c r="D22" s="7"/>
      <c r="E22" s="11"/>
    </row>
    <row r="23" spans="2:5" s="8" customFormat="1" ht="18.95" customHeight="1" x14ac:dyDescent="0.2">
      <c r="B23" s="48"/>
      <c r="C23" s="13" t="s">
        <v>152</v>
      </c>
      <c r="D23" s="7"/>
      <c r="E23" s="11"/>
    </row>
    <row r="24" spans="2:5" s="8" customFormat="1" ht="21" customHeight="1" x14ac:dyDescent="0.2">
      <c r="B24" s="49"/>
      <c r="C24" s="25" t="s">
        <v>142</v>
      </c>
      <c r="D24" s="24">
        <f>D20+D21+D22+D23</f>
        <v>0</v>
      </c>
      <c r="E24" s="12"/>
    </row>
    <row r="25" spans="2:5" s="8" customFormat="1" ht="33.75" customHeight="1" x14ac:dyDescent="0.2">
      <c r="B25" s="47" t="s">
        <v>153</v>
      </c>
      <c r="C25" s="13" t="s">
        <v>149</v>
      </c>
      <c r="D25" s="7">
        <v>0</v>
      </c>
      <c r="E25" s="11"/>
    </row>
    <row r="26" spans="2:5" s="8" customFormat="1" ht="18.95" customHeight="1" x14ac:dyDescent="0.2">
      <c r="B26" s="48"/>
      <c r="C26" s="13" t="s">
        <v>150</v>
      </c>
      <c r="D26" s="7"/>
      <c r="E26" s="11"/>
    </row>
    <row r="27" spans="2:5" s="8" customFormat="1" ht="18.95" customHeight="1" x14ac:dyDescent="0.2">
      <c r="B27" s="48"/>
      <c r="C27" s="13" t="s">
        <v>151</v>
      </c>
      <c r="D27" s="7"/>
      <c r="E27" s="11"/>
    </row>
    <row r="28" spans="2:5" s="8" customFormat="1" ht="18.95" customHeight="1" x14ac:dyDescent="0.2">
      <c r="B28" s="48"/>
      <c r="C28" s="13" t="s">
        <v>152</v>
      </c>
      <c r="D28" s="7"/>
      <c r="E28" s="11"/>
    </row>
    <row r="29" spans="2:5" s="8" customFormat="1" ht="21" customHeight="1" x14ac:dyDescent="0.2">
      <c r="B29" s="49"/>
      <c r="C29" s="25" t="s">
        <v>142</v>
      </c>
      <c r="D29" s="24">
        <f>D25+D26+D27+D28</f>
        <v>0</v>
      </c>
      <c r="E29" s="12"/>
    </row>
    <row r="30" spans="2:5" s="8" customFormat="1" ht="33.75" customHeight="1" x14ac:dyDescent="0.2">
      <c r="B30" s="47" t="s">
        <v>153</v>
      </c>
      <c r="C30" s="13" t="s">
        <v>149</v>
      </c>
      <c r="D30" s="7">
        <v>0</v>
      </c>
      <c r="E30" s="11"/>
    </row>
    <row r="31" spans="2:5" s="8" customFormat="1" ht="18.95" customHeight="1" x14ac:dyDescent="0.2">
      <c r="B31" s="48"/>
      <c r="C31" s="13" t="s">
        <v>150</v>
      </c>
      <c r="D31" s="7"/>
      <c r="E31" s="11"/>
    </row>
    <row r="32" spans="2:5" s="8" customFormat="1" ht="18.95" customHeight="1" x14ac:dyDescent="0.2">
      <c r="B32" s="48"/>
      <c r="C32" s="13" t="s">
        <v>151</v>
      </c>
      <c r="D32" s="7"/>
      <c r="E32" s="11"/>
    </row>
    <row r="33" spans="2:5" s="8" customFormat="1" ht="18.95" customHeight="1" x14ac:dyDescent="0.2">
      <c r="B33" s="48"/>
      <c r="C33" s="13" t="s">
        <v>152</v>
      </c>
      <c r="D33" s="7"/>
      <c r="E33" s="11"/>
    </row>
    <row r="34" spans="2:5" s="8" customFormat="1" ht="21" customHeight="1" x14ac:dyDescent="0.2">
      <c r="B34" s="49"/>
      <c r="C34" s="25" t="s">
        <v>142</v>
      </c>
      <c r="D34" s="24">
        <f>D30+D31+D32+D33</f>
        <v>0</v>
      </c>
      <c r="E34" s="12"/>
    </row>
    <row r="35" spans="2:5" s="8" customFormat="1" ht="33.75" customHeight="1" x14ac:dyDescent="0.2">
      <c r="B35" s="47" t="s">
        <v>153</v>
      </c>
      <c r="C35" s="13" t="s">
        <v>149</v>
      </c>
      <c r="D35" s="7">
        <v>0</v>
      </c>
      <c r="E35" s="11"/>
    </row>
    <row r="36" spans="2:5" s="8" customFormat="1" ht="18.95" customHeight="1" x14ac:dyDescent="0.2">
      <c r="B36" s="48"/>
      <c r="C36" s="13" t="s">
        <v>150</v>
      </c>
      <c r="D36" s="7"/>
      <c r="E36" s="11"/>
    </row>
    <row r="37" spans="2:5" s="8" customFormat="1" ht="18.95" customHeight="1" x14ac:dyDescent="0.2">
      <c r="B37" s="48"/>
      <c r="C37" s="13" t="s">
        <v>151</v>
      </c>
      <c r="D37" s="7"/>
      <c r="E37" s="11"/>
    </row>
    <row r="38" spans="2:5" s="8" customFormat="1" ht="18.95" customHeight="1" x14ac:dyDescent="0.2">
      <c r="B38" s="48"/>
      <c r="C38" s="13" t="s">
        <v>152</v>
      </c>
      <c r="D38" s="7"/>
      <c r="E38" s="11"/>
    </row>
    <row r="39" spans="2:5" s="8" customFormat="1" ht="21" customHeight="1" x14ac:dyDescent="0.2">
      <c r="B39" s="49"/>
      <c r="C39" s="25" t="s">
        <v>142</v>
      </c>
      <c r="D39" s="24">
        <f>D35+D36+D37+D38</f>
        <v>0</v>
      </c>
      <c r="E39" s="12"/>
    </row>
    <row r="40" spans="2:5" s="8" customFormat="1" ht="33.75" customHeight="1" x14ac:dyDescent="0.2">
      <c r="B40" s="47" t="s">
        <v>153</v>
      </c>
      <c r="C40" s="13" t="s">
        <v>149</v>
      </c>
      <c r="D40" s="7">
        <v>0</v>
      </c>
      <c r="E40" s="11"/>
    </row>
    <row r="41" spans="2:5" s="8" customFormat="1" ht="18.95" customHeight="1" x14ac:dyDescent="0.2">
      <c r="B41" s="48"/>
      <c r="C41" s="13" t="s">
        <v>150</v>
      </c>
      <c r="D41" s="7"/>
      <c r="E41" s="11"/>
    </row>
    <row r="42" spans="2:5" s="8" customFormat="1" ht="18.95" customHeight="1" x14ac:dyDescent="0.2">
      <c r="B42" s="48"/>
      <c r="C42" s="13" t="s">
        <v>151</v>
      </c>
      <c r="D42" s="7"/>
      <c r="E42" s="11"/>
    </row>
    <row r="43" spans="2:5" s="8" customFormat="1" ht="18.95" customHeight="1" x14ac:dyDescent="0.2">
      <c r="B43" s="48"/>
      <c r="C43" s="13" t="s">
        <v>152</v>
      </c>
      <c r="D43" s="7"/>
      <c r="E43" s="11"/>
    </row>
    <row r="44" spans="2:5" s="8" customFormat="1" ht="21" customHeight="1" x14ac:dyDescent="0.2">
      <c r="B44" s="49"/>
      <c r="C44" s="25" t="s">
        <v>142</v>
      </c>
      <c r="D44" s="24">
        <f>D40+D41+D42+D43</f>
        <v>0</v>
      </c>
      <c r="E44" s="12"/>
    </row>
    <row r="45" spans="2:5" s="8" customFormat="1" ht="33.75" customHeight="1" x14ac:dyDescent="0.2">
      <c r="B45" s="47" t="s">
        <v>153</v>
      </c>
      <c r="C45" s="13" t="s">
        <v>149</v>
      </c>
      <c r="D45" s="7">
        <v>0</v>
      </c>
      <c r="E45" s="11"/>
    </row>
    <row r="46" spans="2:5" s="8" customFormat="1" ht="18.95" customHeight="1" x14ac:dyDescent="0.2">
      <c r="B46" s="48"/>
      <c r="C46" s="13" t="s">
        <v>150</v>
      </c>
      <c r="D46" s="7"/>
      <c r="E46" s="11"/>
    </row>
    <row r="47" spans="2:5" s="8" customFormat="1" ht="18.95" customHeight="1" x14ac:dyDescent="0.2">
      <c r="B47" s="48"/>
      <c r="C47" s="13" t="s">
        <v>151</v>
      </c>
      <c r="D47" s="7"/>
      <c r="E47" s="11"/>
    </row>
    <row r="48" spans="2:5" s="8" customFormat="1" ht="18.95" customHeight="1" x14ac:dyDescent="0.2">
      <c r="B48" s="48"/>
      <c r="C48" s="13" t="s">
        <v>152</v>
      </c>
      <c r="D48" s="7"/>
      <c r="E48" s="11"/>
    </row>
    <row r="49" spans="2:6" s="8" customFormat="1" ht="21" customHeight="1" x14ac:dyDescent="0.2">
      <c r="B49" s="49"/>
      <c r="C49" s="25" t="s">
        <v>142</v>
      </c>
      <c r="D49" s="24">
        <f>D45+D46+D47+D48</f>
        <v>0</v>
      </c>
      <c r="E49" s="12"/>
    </row>
    <row r="50" spans="2:6" s="8" customFormat="1" ht="33.75" customHeight="1" x14ac:dyDescent="0.2">
      <c r="B50" s="47" t="s">
        <v>153</v>
      </c>
      <c r="C50" s="13" t="s">
        <v>149</v>
      </c>
      <c r="D50" s="7">
        <v>0</v>
      </c>
      <c r="E50" s="11"/>
    </row>
    <row r="51" spans="2:6" s="8" customFormat="1" ht="18.95" customHeight="1" x14ac:dyDescent="0.2">
      <c r="B51" s="48"/>
      <c r="C51" s="13" t="s">
        <v>150</v>
      </c>
      <c r="D51" s="7"/>
      <c r="E51" s="11"/>
    </row>
    <row r="52" spans="2:6" s="8" customFormat="1" ht="18.95" customHeight="1" x14ac:dyDescent="0.2">
      <c r="B52" s="48"/>
      <c r="C52" s="13" t="s">
        <v>151</v>
      </c>
      <c r="D52" s="7"/>
      <c r="E52" s="11"/>
    </row>
    <row r="53" spans="2:6" s="8" customFormat="1" ht="18.95" customHeight="1" x14ac:dyDescent="0.2">
      <c r="B53" s="48"/>
      <c r="C53" s="13" t="s">
        <v>152</v>
      </c>
      <c r="D53" s="7"/>
      <c r="E53" s="11"/>
    </row>
    <row r="54" spans="2:6" s="8" customFormat="1" ht="21" customHeight="1" x14ac:dyDescent="0.2">
      <c r="B54" s="49"/>
      <c r="C54" s="25" t="s">
        <v>142</v>
      </c>
      <c r="D54" s="24">
        <f>D50+D51+D52+D53</f>
        <v>0</v>
      </c>
      <c r="E54" s="12"/>
    </row>
    <row r="55" spans="2:6" s="8" customFormat="1" ht="33.75" customHeight="1" x14ac:dyDescent="0.2">
      <c r="B55" s="47" t="s">
        <v>153</v>
      </c>
      <c r="C55" s="13" t="s">
        <v>149</v>
      </c>
      <c r="D55" s="7">
        <v>0</v>
      </c>
      <c r="E55" s="11"/>
    </row>
    <row r="56" spans="2:6" s="8" customFormat="1" ht="18.95" customHeight="1" x14ac:dyDescent="0.2">
      <c r="B56" s="48"/>
      <c r="C56" s="13" t="s">
        <v>150</v>
      </c>
      <c r="D56" s="7"/>
      <c r="E56" s="11"/>
    </row>
    <row r="57" spans="2:6" s="8" customFormat="1" ht="18.95" customHeight="1" x14ac:dyDescent="0.2">
      <c r="B57" s="48"/>
      <c r="C57" s="13" t="s">
        <v>151</v>
      </c>
      <c r="D57" s="7"/>
      <c r="E57" s="11"/>
    </row>
    <row r="58" spans="2:6" s="8" customFormat="1" ht="18.95" customHeight="1" x14ac:dyDescent="0.2">
      <c r="B58" s="48"/>
      <c r="C58" s="13" t="s">
        <v>152</v>
      </c>
      <c r="D58" s="7"/>
      <c r="E58" s="11"/>
    </row>
    <row r="59" spans="2:6" s="8" customFormat="1" ht="21" customHeight="1" x14ac:dyDescent="0.2">
      <c r="B59" s="49"/>
      <c r="C59" s="25" t="s">
        <v>142</v>
      </c>
      <c r="D59" s="24">
        <f>D55+D56+D57+D58</f>
        <v>0</v>
      </c>
      <c r="E59" s="12"/>
    </row>
    <row r="60" spans="2:6" s="8" customFormat="1" ht="18" customHeight="1" x14ac:dyDescent="0.2">
      <c r="F60" s="9"/>
    </row>
    <row r="61" spans="2:6" x14ac:dyDescent="0.2">
      <c r="F61" s="2"/>
    </row>
    <row r="62" spans="2:6" x14ac:dyDescent="0.2">
      <c r="F62" s="2"/>
    </row>
    <row r="63" spans="2:6" x14ac:dyDescent="0.2">
      <c r="F63" s="2"/>
    </row>
    <row r="64" spans="2:6" x14ac:dyDescent="0.2">
      <c r="F64" s="2"/>
    </row>
    <row r="65" spans="6:6" x14ac:dyDescent="0.2">
      <c r="F65" s="2"/>
    </row>
    <row r="66" spans="6:6" x14ac:dyDescent="0.2">
      <c r="F66" s="2"/>
    </row>
    <row r="67" spans="6:6" x14ac:dyDescent="0.2">
      <c r="F67" s="2"/>
    </row>
    <row r="68" spans="6:6" x14ac:dyDescent="0.2">
      <c r="F68" s="2"/>
    </row>
    <row r="69" spans="6:6" x14ac:dyDescent="0.2">
      <c r="F69" s="2"/>
    </row>
    <row r="70" spans="6:6" x14ac:dyDescent="0.2">
      <c r="F70" s="2"/>
    </row>
    <row r="71" spans="6:6" x14ac:dyDescent="0.2">
      <c r="F71" s="2"/>
    </row>
    <row r="72" spans="6:6" x14ac:dyDescent="0.2">
      <c r="F72" s="2"/>
    </row>
    <row r="73" spans="6:6" x14ac:dyDescent="0.2">
      <c r="F73" s="2"/>
    </row>
    <row r="74" spans="6:6" x14ac:dyDescent="0.2">
      <c r="F74" s="2"/>
    </row>
    <row r="75" spans="6:6" x14ac:dyDescent="0.2">
      <c r="F75" s="2"/>
    </row>
    <row r="76" spans="6:6" x14ac:dyDescent="0.2">
      <c r="F76" s="2"/>
    </row>
    <row r="77" spans="6:6" x14ac:dyDescent="0.2">
      <c r="F77" s="2"/>
    </row>
    <row r="78" spans="6:6" x14ac:dyDescent="0.2">
      <c r="F78" s="2"/>
    </row>
    <row r="79" spans="6:6" x14ac:dyDescent="0.2">
      <c r="F79" s="2"/>
    </row>
    <row r="80" spans="6:6" x14ac:dyDescent="0.2">
      <c r="F80" s="2"/>
    </row>
    <row r="81" spans="6:6" x14ac:dyDescent="0.2">
      <c r="F81" s="2"/>
    </row>
    <row r="82" spans="6:6" x14ac:dyDescent="0.2">
      <c r="F82" s="2"/>
    </row>
    <row r="83" spans="6:6" x14ac:dyDescent="0.2">
      <c r="F83" s="2"/>
    </row>
    <row r="84" spans="6:6" x14ac:dyDescent="0.2">
      <c r="F84" s="2"/>
    </row>
    <row r="85" spans="6:6" x14ac:dyDescent="0.2">
      <c r="F85" s="2"/>
    </row>
    <row r="86" spans="6:6" x14ac:dyDescent="0.2">
      <c r="F86" s="2"/>
    </row>
    <row r="87" spans="6:6" x14ac:dyDescent="0.2">
      <c r="F87" s="2"/>
    </row>
    <row r="88" spans="6:6" x14ac:dyDescent="0.2">
      <c r="F88" s="2"/>
    </row>
    <row r="89" spans="6:6" x14ac:dyDescent="0.2">
      <c r="F89" s="2"/>
    </row>
    <row r="90" spans="6:6" x14ac:dyDescent="0.2">
      <c r="F90" s="2"/>
    </row>
    <row r="91" spans="6:6" x14ac:dyDescent="0.2">
      <c r="F91" s="2"/>
    </row>
    <row r="92" spans="6:6" x14ac:dyDescent="0.2">
      <c r="F92" s="2"/>
    </row>
    <row r="93" spans="6:6" x14ac:dyDescent="0.2">
      <c r="F93" s="2"/>
    </row>
    <row r="94" spans="6:6" x14ac:dyDescent="0.2">
      <c r="F94" s="2"/>
    </row>
    <row r="95" spans="6:6" x14ac:dyDescent="0.2">
      <c r="F95" s="2"/>
    </row>
    <row r="96" spans="6:6" x14ac:dyDescent="0.2">
      <c r="F96" s="2"/>
    </row>
    <row r="97" spans="6:6" x14ac:dyDescent="0.2">
      <c r="F97" s="2"/>
    </row>
    <row r="98" spans="6:6" x14ac:dyDescent="0.2">
      <c r="F98" s="2"/>
    </row>
    <row r="99" spans="6:6" x14ac:dyDescent="0.2">
      <c r="F99" s="2"/>
    </row>
    <row r="100" spans="6:6" x14ac:dyDescent="0.2">
      <c r="F100" s="2"/>
    </row>
    <row r="101" spans="6:6" x14ac:dyDescent="0.2">
      <c r="F101" s="2"/>
    </row>
    <row r="102" spans="6:6" x14ac:dyDescent="0.2">
      <c r="F102" s="2"/>
    </row>
    <row r="103" spans="6:6" x14ac:dyDescent="0.2">
      <c r="F103" s="2"/>
    </row>
    <row r="104" spans="6:6" x14ac:dyDescent="0.2">
      <c r="F104" s="2"/>
    </row>
    <row r="105" spans="6:6" x14ac:dyDescent="0.2">
      <c r="F105" s="2"/>
    </row>
    <row r="106" spans="6:6" x14ac:dyDescent="0.2">
      <c r="F106" s="2"/>
    </row>
    <row r="107" spans="6:6" x14ac:dyDescent="0.2">
      <c r="F107" s="2"/>
    </row>
    <row r="108" spans="6:6" x14ac:dyDescent="0.2">
      <c r="F108" s="2"/>
    </row>
    <row r="109" spans="6:6" x14ac:dyDescent="0.2">
      <c r="F109" s="2"/>
    </row>
    <row r="110" spans="6:6" x14ac:dyDescent="0.2">
      <c r="F110" s="2"/>
    </row>
    <row r="111" spans="6:6" x14ac:dyDescent="0.2">
      <c r="F111" s="2"/>
    </row>
    <row r="112" spans="6:6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</sheetData>
  <mergeCells count="11">
    <mergeCell ref="B45:B49"/>
    <mergeCell ref="B55:B59"/>
    <mergeCell ref="B35:B39"/>
    <mergeCell ref="B50:B54"/>
    <mergeCell ref="B10:B14"/>
    <mergeCell ref="B40:B44"/>
    <mergeCell ref="G9:G10"/>
    <mergeCell ref="B30:B34"/>
    <mergeCell ref="B25:B29"/>
    <mergeCell ref="B20:B24"/>
    <mergeCell ref="B15:B19"/>
  </mergeCells>
  <conditionalFormatting sqref="A1:A7">
    <cfRule type="cellIs" dxfId="7" priority="81" stopIfTrue="1" operator="equal">
      <formula>"1 - Immediate"</formula>
    </cfRule>
    <cfRule type="containsText" dxfId="6" priority="82" stopIfTrue="1" operator="containsText" text="2 - High">
      <formula>NOT(ISERROR(SEARCH("2 - High", A1)))</formula>
    </cfRule>
    <cfRule type="containsText" dxfId="5" priority="83" stopIfTrue="1" operator="containsText" text="3 - Medium">
      <formula>NOT(ISERROR(SEARCH("3 - Medium", A1)))</formula>
    </cfRule>
    <cfRule type="containsText" dxfId="4" priority="84" stopIfTrue="1" operator="containsText" text="4 - Nice to have">
      <formula>NOT(ISERROR(SEARCH("4 - Nice to have", A1)))</formula>
    </cfRule>
  </conditionalFormatting>
  <conditionalFormatting sqref="A9:A119">
    <cfRule type="cellIs" dxfId="3" priority="1" stopIfTrue="1" operator="equal">
      <formula>"1 - Immediate"</formula>
    </cfRule>
    <cfRule type="containsText" dxfId="2" priority="2" stopIfTrue="1" operator="containsText" text="2 - High">
      <formula>NOT(ISERROR(SEARCH("2 - High", A9)))</formula>
    </cfRule>
    <cfRule type="containsText" dxfId="1" priority="3" stopIfTrue="1" operator="containsText" text="3 - Medium">
      <formula>NOT(ISERROR(SEARCH("3 - Medium", A9)))</formula>
    </cfRule>
    <cfRule type="containsText" dxfId="0" priority="4" stopIfTrue="1" operator="containsText" text="4 - Nice to have">
      <formula>NOT(ISERROR(SEARCH("4 - Nice to have", A9)))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01"/>
  <sheetViews>
    <sheetView topLeftCell="A36" workbookViewId="0">
      <selection activeCell="B46" sqref="B46"/>
    </sheetView>
  </sheetViews>
  <sheetFormatPr defaultColWidth="11.42578125" defaultRowHeight="12.75" x14ac:dyDescent="0.2"/>
  <cols>
    <col min="1" max="1" width="22.42578125" style="31" customWidth="1"/>
    <col min="2" max="2" width="64.5703125" style="31" customWidth="1"/>
    <col min="3" max="3" width="37.85546875" style="31" customWidth="1"/>
  </cols>
  <sheetData>
    <row r="2" spans="1:3" ht="23.1" customHeight="1" x14ac:dyDescent="0.35">
      <c r="A2" s="40" t="s">
        <v>154</v>
      </c>
    </row>
    <row r="4" spans="1:3" x14ac:dyDescent="0.2">
      <c r="A4" s="35" t="s">
        <v>155</v>
      </c>
    </row>
    <row r="5" spans="1:3" x14ac:dyDescent="0.2">
      <c r="A5" s="34"/>
    </row>
    <row r="6" spans="1:3" ht="56.1" customHeight="1" x14ac:dyDescent="0.2">
      <c r="A6" s="34" t="s">
        <v>156</v>
      </c>
      <c r="B6" s="29" t="s">
        <v>157</v>
      </c>
    </row>
    <row r="7" spans="1:3" ht="42" customHeight="1" x14ac:dyDescent="0.2">
      <c r="A7" s="34" t="s">
        <v>158</v>
      </c>
      <c r="B7" t="s">
        <v>159</v>
      </c>
    </row>
    <row r="8" spans="1:3" ht="42" customHeight="1" x14ac:dyDescent="0.2">
      <c r="A8" s="34" t="s">
        <v>160</v>
      </c>
      <c r="B8" s="29" t="s">
        <v>161</v>
      </c>
    </row>
    <row r="9" spans="1:3" ht="27.95" customHeight="1" x14ac:dyDescent="0.2">
      <c r="A9" s="34" t="s">
        <v>162</v>
      </c>
      <c r="B9" s="29" t="s">
        <v>163</v>
      </c>
    </row>
    <row r="11" spans="1:3" ht="18" customHeight="1" x14ac:dyDescent="0.25">
      <c r="A11" s="30" t="s">
        <v>164</v>
      </c>
    </row>
    <row r="13" spans="1:3" x14ac:dyDescent="0.2">
      <c r="A13" s="32" t="s">
        <v>165</v>
      </c>
      <c r="B13" s="32" t="s">
        <v>166</v>
      </c>
      <c r="C13" s="32" t="s">
        <v>167</v>
      </c>
    </row>
    <row r="14" spans="1:3" x14ac:dyDescent="0.2">
      <c r="A14" s="33" t="s">
        <v>168</v>
      </c>
      <c r="B14" s="33" t="s">
        <v>169</v>
      </c>
      <c r="C14" s="33" t="s">
        <v>170</v>
      </c>
    </row>
    <row r="15" spans="1:3" x14ac:dyDescent="0.2">
      <c r="A15" s="33" t="s">
        <v>171</v>
      </c>
      <c r="B15" s="33" t="s">
        <v>172</v>
      </c>
      <c r="C15" s="33" t="s">
        <v>173</v>
      </c>
    </row>
    <row r="16" spans="1:3" x14ac:dyDescent="0.2">
      <c r="A16" s="33" t="s">
        <v>174</v>
      </c>
      <c r="B16" s="33" t="s">
        <v>175</v>
      </c>
      <c r="C16" s="33" t="s">
        <v>176</v>
      </c>
    </row>
    <row r="17" spans="1:3" x14ac:dyDescent="0.2">
      <c r="A17" s="33" t="s">
        <v>177</v>
      </c>
      <c r="B17" s="33" t="s">
        <v>178</v>
      </c>
      <c r="C17" s="33" t="s">
        <v>179</v>
      </c>
    </row>
    <row r="18" spans="1:3" x14ac:dyDescent="0.2">
      <c r="A18" s="33" t="s">
        <v>180</v>
      </c>
      <c r="B18" s="33" t="s">
        <v>181</v>
      </c>
      <c r="C18" s="33" t="s">
        <v>182</v>
      </c>
    </row>
    <row r="20" spans="1:3" ht="18" customHeight="1" x14ac:dyDescent="0.25">
      <c r="A20" s="30" t="s">
        <v>183</v>
      </c>
    </row>
    <row r="22" spans="1:3" x14ac:dyDescent="0.2">
      <c r="A22" s="33" t="s">
        <v>184</v>
      </c>
    </row>
    <row r="23" spans="1:3" x14ac:dyDescent="0.2">
      <c r="A23" s="33" t="s">
        <v>185</v>
      </c>
    </row>
    <row r="24" spans="1:3" x14ac:dyDescent="0.2">
      <c r="A24" s="33" t="s">
        <v>186</v>
      </c>
    </row>
    <row r="25" spans="1:3" x14ac:dyDescent="0.2">
      <c r="A25" s="33" t="s">
        <v>187</v>
      </c>
    </row>
    <row r="26" spans="1:3" x14ac:dyDescent="0.2">
      <c r="A26" s="33" t="s">
        <v>188</v>
      </c>
    </row>
    <row r="27" spans="1:3" x14ac:dyDescent="0.2">
      <c r="A27" s="33" t="s">
        <v>189</v>
      </c>
    </row>
    <row r="28" spans="1:3" x14ac:dyDescent="0.2">
      <c r="A28" s="33" t="s">
        <v>190</v>
      </c>
    </row>
    <row r="29" spans="1:3" x14ac:dyDescent="0.2">
      <c r="A29" s="33" t="s">
        <v>191</v>
      </c>
    </row>
    <row r="32" spans="1:3" ht="23.1" customHeight="1" x14ac:dyDescent="0.35">
      <c r="A32" s="36" t="s">
        <v>192</v>
      </c>
    </row>
    <row r="34" spans="1:5" x14ac:dyDescent="0.2">
      <c r="A34" s="33" t="s">
        <v>193</v>
      </c>
    </row>
    <row r="36" spans="1:5" ht="18" customHeight="1" x14ac:dyDescent="0.25">
      <c r="A36" s="30" t="s">
        <v>194</v>
      </c>
    </row>
    <row r="38" spans="1:5" ht="14.1" customHeight="1" x14ac:dyDescent="0.2">
      <c r="A38" s="37" t="s">
        <v>195</v>
      </c>
      <c r="B38" s="37" t="s">
        <v>196</v>
      </c>
      <c r="C38" s="37" t="s">
        <v>197</v>
      </c>
      <c r="D38" s="37" t="s">
        <v>165</v>
      </c>
      <c r="E38" s="38"/>
    </row>
    <row r="39" spans="1:5" ht="17.100000000000001" customHeight="1" x14ac:dyDescent="0.2">
      <c r="A39" s="39" t="s">
        <v>198</v>
      </c>
      <c r="B39" s="39" t="s">
        <v>199</v>
      </c>
      <c r="C39" s="39" t="s">
        <v>200</v>
      </c>
      <c r="D39" s="39" t="s">
        <v>201</v>
      </c>
      <c r="E39" s="38"/>
    </row>
    <row r="40" spans="1:5" ht="27.95" customHeight="1" x14ac:dyDescent="0.2">
      <c r="A40" s="39" t="s">
        <v>202</v>
      </c>
      <c r="B40" s="39" t="s">
        <v>203</v>
      </c>
      <c r="C40" s="39" t="s">
        <v>204</v>
      </c>
      <c r="D40" s="39" t="s">
        <v>205</v>
      </c>
      <c r="E40" s="38"/>
    </row>
    <row r="41" spans="1:5" ht="17.100000000000001" customHeight="1" x14ac:dyDescent="0.2">
      <c r="A41" s="39" t="s">
        <v>206</v>
      </c>
      <c r="B41" s="39" t="s">
        <v>207</v>
      </c>
      <c r="C41" s="39" t="s">
        <v>208</v>
      </c>
      <c r="D41" s="39" t="s">
        <v>205</v>
      </c>
      <c r="E41" s="38"/>
    </row>
    <row r="42" spans="1:5" ht="17.100000000000001" customHeight="1" x14ac:dyDescent="0.2">
      <c r="A42" s="39" t="s">
        <v>209</v>
      </c>
      <c r="B42" s="39" t="s">
        <v>210</v>
      </c>
      <c r="C42" s="39" t="s">
        <v>211</v>
      </c>
      <c r="D42" s="39" t="s">
        <v>205</v>
      </c>
      <c r="E42" s="38"/>
    </row>
    <row r="43" spans="1:5" ht="17.100000000000001" customHeight="1" x14ac:dyDescent="0.2">
      <c r="A43" s="39" t="s">
        <v>212</v>
      </c>
      <c r="B43" s="39" t="s">
        <v>213</v>
      </c>
      <c r="C43" s="39" t="s">
        <v>214</v>
      </c>
      <c r="D43" s="39" t="s">
        <v>215</v>
      </c>
      <c r="E43" s="38"/>
    </row>
    <row r="44" spans="1:5" ht="17.100000000000001" customHeight="1" x14ac:dyDescent="0.2">
      <c r="A44" s="39" t="s">
        <v>216</v>
      </c>
      <c r="B44" s="39" t="s">
        <v>217</v>
      </c>
      <c r="C44" s="39" t="s">
        <v>218</v>
      </c>
      <c r="D44" s="39" t="s">
        <v>215</v>
      </c>
      <c r="E44" s="38"/>
    </row>
    <row r="45" spans="1:5" ht="14.1" customHeight="1" x14ac:dyDescent="0.2">
      <c r="A45" s="39" t="s">
        <v>219</v>
      </c>
      <c r="B45" s="39" t="s">
        <v>220</v>
      </c>
      <c r="C45" s="39" t="s">
        <v>221</v>
      </c>
      <c r="D45" s="39" t="s">
        <v>205</v>
      </c>
      <c r="E45" s="38"/>
    </row>
    <row r="46" spans="1:5" ht="27.95" customHeight="1" x14ac:dyDescent="0.2">
      <c r="A46" s="39" t="s">
        <v>222</v>
      </c>
      <c r="B46" s="39" t="s">
        <v>223</v>
      </c>
      <c r="C46" s="39" t="s">
        <v>224</v>
      </c>
      <c r="D46" s="39" t="s">
        <v>225</v>
      </c>
      <c r="E46" s="38"/>
    </row>
    <row r="49" spans="1:5" ht="18" customHeight="1" x14ac:dyDescent="0.25">
      <c r="A49" s="30" t="s">
        <v>226</v>
      </c>
    </row>
    <row r="51" spans="1:5" ht="14.1" customHeight="1" x14ac:dyDescent="0.2">
      <c r="A51" s="37" t="s">
        <v>195</v>
      </c>
      <c r="B51" s="37" t="s">
        <v>196</v>
      </c>
      <c r="C51" s="37" t="s">
        <v>197</v>
      </c>
      <c r="D51" s="37" t="s">
        <v>165</v>
      </c>
      <c r="E51" s="38"/>
    </row>
    <row r="52" spans="1:5" ht="14.1" customHeight="1" x14ac:dyDescent="0.2">
      <c r="A52" s="39" t="s">
        <v>227</v>
      </c>
      <c r="B52" s="39" t="s">
        <v>228</v>
      </c>
      <c r="C52" s="39" t="s">
        <v>229</v>
      </c>
      <c r="D52" s="39" t="s">
        <v>201</v>
      </c>
      <c r="E52" s="38"/>
    </row>
    <row r="53" spans="1:5" ht="14.1" customHeight="1" x14ac:dyDescent="0.2">
      <c r="A53" s="39" t="s">
        <v>230</v>
      </c>
      <c r="B53" s="39" t="s">
        <v>231</v>
      </c>
      <c r="C53" s="39" t="s">
        <v>232</v>
      </c>
      <c r="D53" s="39" t="s">
        <v>205</v>
      </c>
      <c r="E53" s="38"/>
    </row>
    <row r="54" spans="1:5" ht="27.95" customHeight="1" x14ac:dyDescent="0.2">
      <c r="A54" s="39" t="s">
        <v>233</v>
      </c>
      <c r="B54" s="39" t="s">
        <v>234</v>
      </c>
      <c r="C54" s="39" t="s">
        <v>235</v>
      </c>
      <c r="D54" s="39" t="s">
        <v>205</v>
      </c>
      <c r="E54" s="38"/>
    </row>
    <row r="55" spans="1:5" ht="14.1" customHeight="1" x14ac:dyDescent="0.2">
      <c r="A55" s="39" t="s">
        <v>236</v>
      </c>
      <c r="B55" s="39" t="s">
        <v>237</v>
      </c>
      <c r="C55" s="39" t="s">
        <v>238</v>
      </c>
      <c r="D55" s="39" t="s">
        <v>205</v>
      </c>
      <c r="E55" s="38"/>
    </row>
    <row r="56" spans="1:5" ht="14.1" customHeight="1" x14ac:dyDescent="0.2">
      <c r="A56" s="39" t="s">
        <v>239</v>
      </c>
      <c r="B56" s="39" t="s">
        <v>240</v>
      </c>
      <c r="C56" s="39" t="s">
        <v>241</v>
      </c>
      <c r="D56" s="39" t="s">
        <v>225</v>
      </c>
      <c r="E56" s="38"/>
    </row>
    <row r="57" spans="1:5" ht="14.1" customHeight="1" x14ac:dyDescent="0.2">
      <c r="A57" s="39" t="s">
        <v>242</v>
      </c>
      <c r="B57" s="39" t="s">
        <v>243</v>
      </c>
      <c r="C57" s="39" t="s">
        <v>244</v>
      </c>
      <c r="D57" s="39" t="s">
        <v>201</v>
      </c>
      <c r="E57" s="38"/>
    </row>
    <row r="59" spans="1:5" ht="14.1" customHeight="1" x14ac:dyDescent="0.2">
      <c r="A59" s="32" t="s">
        <v>0</v>
      </c>
      <c r="B59" s="41" t="s">
        <v>19</v>
      </c>
    </row>
    <row r="60" spans="1:5" x14ac:dyDescent="0.2">
      <c r="A60" s="32" t="s">
        <v>2</v>
      </c>
      <c r="B60" s="41" t="s">
        <v>20</v>
      </c>
    </row>
    <row r="61" spans="1:5" x14ac:dyDescent="0.2">
      <c r="A61" s="32" t="s">
        <v>4</v>
      </c>
      <c r="B61" s="41" t="s">
        <v>5</v>
      </c>
    </row>
    <row r="62" spans="1:5" x14ac:dyDescent="0.2">
      <c r="A62" s="32" t="s">
        <v>6</v>
      </c>
      <c r="B62" s="41" t="s">
        <v>21</v>
      </c>
    </row>
    <row r="63" spans="1:5" x14ac:dyDescent="0.2">
      <c r="A63" s="32" t="s">
        <v>8</v>
      </c>
      <c r="B63" s="41" t="s">
        <v>22</v>
      </c>
    </row>
    <row r="64" spans="1:5" ht="153.94999999999999" customHeight="1" x14ac:dyDescent="0.2">
      <c r="A64" s="32" t="s">
        <v>10</v>
      </c>
      <c r="B64" s="42" t="s">
        <v>23</v>
      </c>
    </row>
    <row r="65" spans="1:2" ht="27.95" customHeight="1" x14ac:dyDescent="0.2">
      <c r="A65" s="32" t="s">
        <v>12</v>
      </c>
      <c r="B65" s="42" t="s">
        <v>24</v>
      </c>
    </row>
    <row r="66" spans="1:2" ht="27.95" customHeight="1" x14ac:dyDescent="0.2">
      <c r="A66" s="32" t="s">
        <v>14</v>
      </c>
      <c r="B66" s="42" t="s">
        <v>25</v>
      </c>
    </row>
    <row r="67" spans="1:2" ht="14.1" customHeight="1" x14ac:dyDescent="0.2">
      <c r="A67" s="32" t="s">
        <v>16</v>
      </c>
      <c r="B67" s="42" t="s">
        <v>245</v>
      </c>
    </row>
    <row r="68" spans="1:2" ht="14.1" customHeight="1" x14ac:dyDescent="0.2">
      <c r="A68" s="32" t="s">
        <v>18</v>
      </c>
      <c r="B68" s="42" t="s">
        <v>246</v>
      </c>
    </row>
    <row r="70" spans="1:2" ht="14.1" customHeight="1" x14ac:dyDescent="0.2">
      <c r="A70" s="32" t="s">
        <v>0</v>
      </c>
      <c r="B70" s="41" t="s">
        <v>19</v>
      </c>
    </row>
    <row r="71" spans="1:2" x14ac:dyDescent="0.2">
      <c r="A71" s="32" t="s">
        <v>2</v>
      </c>
      <c r="B71" s="41" t="s">
        <v>27</v>
      </c>
    </row>
    <row r="72" spans="1:2" x14ac:dyDescent="0.2">
      <c r="A72" s="32" t="s">
        <v>4</v>
      </c>
      <c r="B72" s="41" t="s">
        <v>5</v>
      </c>
    </row>
    <row r="73" spans="1:2" x14ac:dyDescent="0.2">
      <c r="A73" s="32" t="s">
        <v>6</v>
      </c>
      <c r="B73" s="41" t="s">
        <v>28</v>
      </c>
    </row>
    <row r="74" spans="1:2" x14ac:dyDescent="0.2">
      <c r="A74" s="32" t="s">
        <v>8</v>
      </c>
      <c r="B74" s="41" t="s">
        <v>29</v>
      </c>
    </row>
    <row r="75" spans="1:2" ht="153.94999999999999" customHeight="1" x14ac:dyDescent="0.2">
      <c r="A75" s="32" t="s">
        <v>10</v>
      </c>
      <c r="B75" s="42" t="s">
        <v>30</v>
      </c>
    </row>
    <row r="76" spans="1:2" ht="27.95" customHeight="1" x14ac:dyDescent="0.2">
      <c r="A76" s="32" t="s">
        <v>12</v>
      </c>
      <c r="B76" s="42" t="s">
        <v>31</v>
      </c>
    </row>
    <row r="77" spans="1:2" ht="27.95" customHeight="1" x14ac:dyDescent="0.2">
      <c r="A77" s="32" t="s">
        <v>14</v>
      </c>
      <c r="B77" s="42" t="s">
        <v>32</v>
      </c>
    </row>
    <row r="78" spans="1:2" ht="14.1" customHeight="1" x14ac:dyDescent="0.2">
      <c r="A78" s="32" t="s">
        <v>16</v>
      </c>
      <c r="B78" s="42" t="s">
        <v>245</v>
      </c>
    </row>
    <row r="79" spans="1:2" ht="14.1" customHeight="1" x14ac:dyDescent="0.2">
      <c r="A79" s="32" t="s">
        <v>18</v>
      </c>
      <c r="B79" s="42" t="s">
        <v>246</v>
      </c>
    </row>
    <row r="81" spans="1:2" ht="14.1" customHeight="1" x14ac:dyDescent="0.2">
      <c r="A81" s="32" t="s">
        <v>0</v>
      </c>
      <c r="B81" s="41" t="s">
        <v>1</v>
      </c>
    </row>
    <row r="82" spans="1:2" x14ac:dyDescent="0.2">
      <c r="A82" s="32" t="s">
        <v>2</v>
      </c>
      <c r="B82" s="41" t="s">
        <v>34</v>
      </c>
    </row>
    <row r="83" spans="1:2" x14ac:dyDescent="0.2">
      <c r="A83" s="32" t="s">
        <v>4</v>
      </c>
      <c r="B83" s="41" t="s">
        <v>5</v>
      </c>
    </row>
    <row r="84" spans="1:2" x14ac:dyDescent="0.2">
      <c r="A84" s="32" t="s">
        <v>6</v>
      </c>
      <c r="B84" s="41" t="s">
        <v>7</v>
      </c>
    </row>
    <row r="85" spans="1:2" x14ac:dyDescent="0.2">
      <c r="A85" s="32" t="s">
        <v>8</v>
      </c>
      <c r="B85" s="41" t="s">
        <v>35</v>
      </c>
    </row>
    <row r="86" spans="1:2" ht="153.94999999999999" customHeight="1" x14ac:dyDescent="0.2">
      <c r="A86" s="32" t="s">
        <v>10</v>
      </c>
      <c r="B86" s="42" t="s">
        <v>36</v>
      </c>
    </row>
    <row r="87" spans="1:2" ht="27.95" customHeight="1" x14ac:dyDescent="0.2">
      <c r="A87" s="32" t="s">
        <v>12</v>
      </c>
      <c r="B87" s="42" t="s">
        <v>37</v>
      </c>
    </row>
    <row r="88" spans="1:2" ht="27.95" customHeight="1" x14ac:dyDescent="0.2">
      <c r="A88" s="32" t="s">
        <v>14</v>
      </c>
      <c r="B88" s="42" t="s">
        <v>38</v>
      </c>
    </row>
    <row r="89" spans="1:2" ht="14.1" customHeight="1" x14ac:dyDescent="0.2">
      <c r="A89" s="32" t="s">
        <v>16</v>
      </c>
      <c r="B89" s="42" t="s">
        <v>245</v>
      </c>
    </row>
    <row r="90" spans="1:2" ht="14.1" customHeight="1" x14ac:dyDescent="0.2">
      <c r="A90" s="32" t="s">
        <v>18</v>
      </c>
      <c r="B90" s="42" t="s">
        <v>246</v>
      </c>
    </row>
    <row r="92" spans="1:2" ht="14.1" customHeight="1" x14ac:dyDescent="0.2">
      <c r="A92" s="32" t="s">
        <v>0</v>
      </c>
      <c r="B92" s="41" t="s">
        <v>1</v>
      </c>
    </row>
    <row r="93" spans="1:2" x14ac:dyDescent="0.2">
      <c r="A93" s="32" t="s">
        <v>2</v>
      </c>
      <c r="B93" s="41" t="s">
        <v>40</v>
      </c>
    </row>
    <row r="94" spans="1:2" x14ac:dyDescent="0.2">
      <c r="A94" s="32" t="s">
        <v>4</v>
      </c>
      <c r="B94" s="41" t="s">
        <v>5</v>
      </c>
    </row>
    <row r="95" spans="1:2" x14ac:dyDescent="0.2">
      <c r="A95" s="32" t="s">
        <v>6</v>
      </c>
      <c r="B95" s="41" t="s">
        <v>41</v>
      </c>
    </row>
    <row r="96" spans="1:2" x14ac:dyDescent="0.2">
      <c r="A96" s="32" t="s">
        <v>8</v>
      </c>
      <c r="B96" s="41" t="s">
        <v>42</v>
      </c>
    </row>
    <row r="97" spans="1:2" ht="153.94999999999999" customHeight="1" x14ac:dyDescent="0.2">
      <c r="A97" s="32" t="s">
        <v>10</v>
      </c>
      <c r="B97" s="42" t="s">
        <v>43</v>
      </c>
    </row>
    <row r="98" spans="1:2" ht="27.95" customHeight="1" x14ac:dyDescent="0.2">
      <c r="A98" s="32" t="s">
        <v>12</v>
      </c>
      <c r="B98" s="42" t="s">
        <v>44</v>
      </c>
    </row>
    <row r="99" spans="1:2" ht="27.95" customHeight="1" x14ac:dyDescent="0.2">
      <c r="A99" s="32" t="s">
        <v>14</v>
      </c>
      <c r="B99" s="42" t="s">
        <v>45</v>
      </c>
    </row>
    <row r="100" spans="1:2" ht="14.1" customHeight="1" x14ac:dyDescent="0.2">
      <c r="A100" s="32" t="s">
        <v>16</v>
      </c>
      <c r="B100" s="42" t="s">
        <v>245</v>
      </c>
    </row>
    <row r="101" spans="1:2" ht="14.1" customHeight="1" x14ac:dyDescent="0.2">
      <c r="A101" s="32" t="s">
        <v>18</v>
      </c>
      <c r="B101" s="42" t="s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166"/>
  <sheetViews>
    <sheetView tabSelected="1" topLeftCell="A29" workbookViewId="0">
      <selection activeCell="B135" sqref="B135"/>
    </sheetView>
  </sheetViews>
  <sheetFormatPr defaultColWidth="11.42578125" defaultRowHeight="12.75" x14ac:dyDescent="0.2"/>
  <cols>
    <col min="1" max="1" width="20.28515625" style="31" customWidth="1"/>
    <col min="2" max="2" width="68.85546875" style="31" customWidth="1"/>
    <col min="3" max="3" width="35.7109375" style="31" customWidth="1"/>
  </cols>
  <sheetData>
    <row r="3" spans="1:3" ht="14.1" customHeight="1" x14ac:dyDescent="0.2">
      <c r="A3" s="37" t="s">
        <v>0</v>
      </c>
      <c r="B3" s="39" t="s">
        <v>1</v>
      </c>
    </row>
    <row r="4" spans="1:3" ht="25.5" customHeight="1" x14ac:dyDescent="0.2">
      <c r="A4" s="37" t="s">
        <v>2</v>
      </c>
      <c r="B4" s="39" t="s">
        <v>3</v>
      </c>
    </row>
    <row r="5" spans="1:3" x14ac:dyDescent="0.2">
      <c r="A5" s="37" t="s">
        <v>4</v>
      </c>
      <c r="B5" s="39" t="s">
        <v>5</v>
      </c>
    </row>
    <row r="6" spans="1:3" ht="25.5" customHeight="1" x14ac:dyDescent="0.2">
      <c r="A6" s="37" t="s">
        <v>6</v>
      </c>
      <c r="B6" s="39" t="s">
        <v>7</v>
      </c>
    </row>
    <row r="7" spans="1:3" x14ac:dyDescent="0.2">
      <c r="A7" s="37" t="s">
        <v>8</v>
      </c>
      <c r="B7" s="39" t="s">
        <v>9</v>
      </c>
    </row>
    <row r="8" spans="1:3" ht="153.94999999999999" customHeight="1" x14ac:dyDescent="0.2">
      <c r="A8" s="44" t="s">
        <v>10</v>
      </c>
      <c r="B8" s="39" t="s">
        <v>11</v>
      </c>
    </row>
    <row r="9" spans="1:3" ht="27.95" customHeight="1" x14ac:dyDescent="0.2">
      <c r="A9" s="37" t="s">
        <v>12</v>
      </c>
      <c r="B9" s="39" t="s">
        <v>13</v>
      </c>
    </row>
    <row r="10" spans="1:3" ht="27.95" customHeight="1" x14ac:dyDescent="0.2">
      <c r="A10" s="37" t="s">
        <v>14</v>
      </c>
      <c r="B10" s="39" t="s">
        <v>15</v>
      </c>
    </row>
    <row r="11" spans="1:3" ht="14.1" customHeight="1" x14ac:dyDescent="0.2">
      <c r="A11" s="37" t="s">
        <v>16</v>
      </c>
      <c r="B11" s="39" t="s">
        <v>17</v>
      </c>
    </row>
    <row r="12" spans="1:3" ht="14.1" customHeight="1" x14ac:dyDescent="0.2">
      <c r="A12" s="37" t="s">
        <v>18</v>
      </c>
      <c r="B12" s="39" t="s">
        <v>259</v>
      </c>
      <c r="C12" s="29"/>
    </row>
    <row r="14" spans="1:3" ht="14.1" customHeight="1" x14ac:dyDescent="0.2">
      <c r="A14" s="37" t="s">
        <v>0</v>
      </c>
      <c r="B14" s="43" t="s">
        <v>19</v>
      </c>
    </row>
    <row r="15" spans="1:3" ht="25.5" customHeight="1" x14ac:dyDescent="0.2">
      <c r="A15" s="37" t="s">
        <v>2</v>
      </c>
      <c r="B15" s="43" t="s">
        <v>20</v>
      </c>
    </row>
    <row r="16" spans="1:3" x14ac:dyDescent="0.2">
      <c r="A16" s="37" t="s">
        <v>4</v>
      </c>
      <c r="B16" s="43" t="s">
        <v>5</v>
      </c>
    </row>
    <row r="17" spans="1:3" ht="25.5" customHeight="1" x14ac:dyDescent="0.2">
      <c r="A17" s="37" t="s">
        <v>6</v>
      </c>
      <c r="B17" s="43" t="s">
        <v>21</v>
      </c>
    </row>
    <row r="18" spans="1:3" ht="25.5" customHeight="1" x14ac:dyDescent="0.2">
      <c r="A18" s="37" t="s">
        <v>8</v>
      </c>
      <c r="B18" s="43" t="s">
        <v>22</v>
      </c>
    </row>
    <row r="19" spans="1:3" ht="153.94999999999999" customHeight="1" x14ac:dyDescent="0.2">
      <c r="A19" s="37" t="s">
        <v>10</v>
      </c>
      <c r="B19" s="43" t="s">
        <v>23</v>
      </c>
    </row>
    <row r="20" spans="1:3" ht="27.95" customHeight="1" x14ac:dyDescent="0.2">
      <c r="A20" s="37" t="s">
        <v>12</v>
      </c>
      <c r="B20" s="43" t="s">
        <v>24</v>
      </c>
    </row>
    <row r="21" spans="1:3" ht="27.95" customHeight="1" x14ac:dyDescent="0.2">
      <c r="A21" s="37" t="s">
        <v>14</v>
      </c>
      <c r="B21" s="43" t="s">
        <v>25</v>
      </c>
    </row>
    <row r="22" spans="1:3" ht="14.1" customHeight="1" x14ac:dyDescent="0.2">
      <c r="A22" s="37" t="s">
        <v>16</v>
      </c>
      <c r="B22" s="43" t="s">
        <v>26</v>
      </c>
    </row>
    <row r="23" spans="1:3" ht="14.1" customHeight="1" x14ac:dyDescent="0.2">
      <c r="A23" s="37" t="s">
        <v>18</v>
      </c>
      <c r="B23" s="39" t="s">
        <v>259</v>
      </c>
      <c r="C23" s="29"/>
    </row>
    <row r="25" spans="1:3" ht="14.1" customHeight="1" x14ac:dyDescent="0.2">
      <c r="A25" s="37" t="s">
        <v>0</v>
      </c>
      <c r="B25" s="43" t="s">
        <v>19</v>
      </c>
    </row>
    <row r="26" spans="1:3" ht="25.5" customHeight="1" x14ac:dyDescent="0.2">
      <c r="A26" s="37" t="s">
        <v>2</v>
      </c>
      <c r="B26" s="43" t="s">
        <v>27</v>
      </c>
    </row>
    <row r="27" spans="1:3" x14ac:dyDescent="0.2">
      <c r="A27" s="37" t="s">
        <v>4</v>
      </c>
      <c r="B27" s="43" t="s">
        <v>5</v>
      </c>
    </row>
    <row r="28" spans="1:3" x14ac:dyDescent="0.2">
      <c r="A28" s="37" t="s">
        <v>6</v>
      </c>
      <c r="B28" s="43" t="s">
        <v>28</v>
      </c>
    </row>
    <row r="29" spans="1:3" ht="25.5" customHeight="1" x14ac:dyDescent="0.2">
      <c r="A29" s="37" t="s">
        <v>8</v>
      </c>
      <c r="B29" s="43" t="s">
        <v>29</v>
      </c>
    </row>
    <row r="30" spans="1:3" ht="153.94999999999999" customHeight="1" x14ac:dyDescent="0.2">
      <c r="A30" s="37" t="s">
        <v>10</v>
      </c>
      <c r="B30" s="43" t="s">
        <v>30</v>
      </c>
    </row>
    <row r="31" spans="1:3" ht="27.95" customHeight="1" x14ac:dyDescent="0.2">
      <c r="A31" s="37" t="s">
        <v>12</v>
      </c>
      <c r="B31" s="43" t="s">
        <v>31</v>
      </c>
    </row>
    <row r="32" spans="1:3" ht="27.95" customHeight="1" x14ac:dyDescent="0.2">
      <c r="A32" s="37" t="s">
        <v>14</v>
      </c>
      <c r="B32" s="43" t="s">
        <v>32</v>
      </c>
    </row>
    <row r="33" spans="1:3" ht="14.1" customHeight="1" x14ac:dyDescent="0.2">
      <c r="A33" s="37" t="s">
        <v>16</v>
      </c>
      <c r="B33" s="43" t="s">
        <v>33</v>
      </c>
    </row>
    <row r="34" spans="1:3" ht="14.1" customHeight="1" x14ac:dyDescent="0.2">
      <c r="A34" s="37" t="s">
        <v>18</v>
      </c>
      <c r="B34" s="39" t="s">
        <v>259</v>
      </c>
      <c r="C34" s="29"/>
    </row>
    <row r="36" spans="1:3" ht="14.1" customHeight="1" x14ac:dyDescent="0.2">
      <c r="A36" s="37" t="s">
        <v>0</v>
      </c>
      <c r="B36" s="43" t="s">
        <v>1</v>
      </c>
    </row>
    <row r="37" spans="1:3" ht="25.5" customHeight="1" x14ac:dyDescent="0.2">
      <c r="A37" s="37" t="s">
        <v>2</v>
      </c>
      <c r="B37" s="43" t="s">
        <v>34</v>
      </c>
    </row>
    <row r="38" spans="1:3" x14ac:dyDescent="0.2">
      <c r="A38" s="37" t="s">
        <v>4</v>
      </c>
      <c r="B38" s="43" t="s">
        <v>5</v>
      </c>
    </row>
    <row r="39" spans="1:3" ht="25.5" customHeight="1" x14ac:dyDescent="0.2">
      <c r="A39" s="37" t="s">
        <v>6</v>
      </c>
      <c r="B39" s="43" t="s">
        <v>7</v>
      </c>
    </row>
    <row r="40" spans="1:3" x14ac:dyDescent="0.2">
      <c r="A40" s="37" t="s">
        <v>8</v>
      </c>
      <c r="B40" s="43" t="s">
        <v>35</v>
      </c>
    </row>
    <row r="41" spans="1:3" ht="153.94999999999999" customHeight="1" x14ac:dyDescent="0.2">
      <c r="A41" s="37" t="s">
        <v>10</v>
      </c>
      <c r="B41" s="43" t="s">
        <v>36</v>
      </c>
    </row>
    <row r="42" spans="1:3" ht="27.95" customHeight="1" x14ac:dyDescent="0.2">
      <c r="A42" s="37" t="s">
        <v>12</v>
      </c>
      <c r="B42" s="43" t="s">
        <v>37</v>
      </c>
    </row>
    <row r="43" spans="1:3" ht="27.95" customHeight="1" x14ac:dyDescent="0.2">
      <c r="A43" s="37" t="s">
        <v>14</v>
      </c>
      <c r="B43" s="43" t="s">
        <v>38</v>
      </c>
    </row>
    <row r="44" spans="1:3" ht="14.1" customHeight="1" x14ac:dyDescent="0.2">
      <c r="A44" s="37" t="s">
        <v>16</v>
      </c>
      <c r="B44" s="43" t="s">
        <v>39</v>
      </c>
    </row>
    <row r="45" spans="1:3" ht="14.1" customHeight="1" x14ac:dyDescent="0.2">
      <c r="A45" s="37" t="s">
        <v>18</v>
      </c>
      <c r="B45" s="39" t="s">
        <v>259</v>
      </c>
      <c r="C45" s="29"/>
    </row>
    <row r="47" spans="1:3" ht="14.1" customHeight="1" x14ac:dyDescent="0.2">
      <c r="A47" s="37" t="s">
        <v>0</v>
      </c>
      <c r="B47" s="43" t="s">
        <v>1</v>
      </c>
    </row>
    <row r="48" spans="1:3" ht="25.5" customHeight="1" x14ac:dyDescent="0.2">
      <c r="A48" s="37" t="s">
        <v>2</v>
      </c>
      <c r="B48" s="43" t="s">
        <v>40</v>
      </c>
    </row>
    <row r="49" spans="1:3" x14ac:dyDescent="0.2">
      <c r="A49" s="37" t="s">
        <v>4</v>
      </c>
      <c r="B49" s="43" t="s">
        <v>5</v>
      </c>
    </row>
    <row r="50" spans="1:3" x14ac:dyDescent="0.2">
      <c r="A50" s="37" t="s">
        <v>6</v>
      </c>
      <c r="B50" s="43" t="s">
        <v>41</v>
      </c>
    </row>
    <row r="51" spans="1:3" x14ac:dyDescent="0.2">
      <c r="A51" s="37" t="s">
        <v>8</v>
      </c>
      <c r="B51" s="43" t="s">
        <v>42</v>
      </c>
    </row>
    <row r="52" spans="1:3" ht="153.94999999999999" customHeight="1" x14ac:dyDescent="0.2">
      <c r="A52" s="37" t="s">
        <v>10</v>
      </c>
      <c r="B52" s="43" t="s">
        <v>43</v>
      </c>
    </row>
    <row r="53" spans="1:3" ht="27.95" customHeight="1" x14ac:dyDescent="0.2">
      <c r="A53" s="37" t="s">
        <v>12</v>
      </c>
      <c r="B53" s="43" t="s">
        <v>44</v>
      </c>
    </row>
    <row r="54" spans="1:3" ht="27.95" customHeight="1" x14ac:dyDescent="0.2">
      <c r="A54" s="37" t="s">
        <v>14</v>
      </c>
      <c r="B54" s="43" t="s">
        <v>45</v>
      </c>
    </row>
    <row r="55" spans="1:3" ht="14.1" customHeight="1" x14ac:dyDescent="0.2">
      <c r="A55" s="37" t="s">
        <v>16</v>
      </c>
      <c r="B55" s="43" t="s">
        <v>46</v>
      </c>
    </row>
    <row r="56" spans="1:3" ht="14.1" customHeight="1" x14ac:dyDescent="0.2">
      <c r="A56" s="37" t="s">
        <v>18</v>
      </c>
      <c r="B56" s="39" t="s">
        <v>259</v>
      </c>
      <c r="C56" s="29"/>
    </row>
    <row r="58" spans="1:3" ht="14.1" customHeight="1" x14ac:dyDescent="0.2">
      <c r="A58" s="37" t="s">
        <v>0</v>
      </c>
      <c r="B58" s="43" t="s">
        <v>19</v>
      </c>
    </row>
    <row r="59" spans="1:3" ht="25.5" customHeight="1" x14ac:dyDescent="0.2">
      <c r="A59" s="37" t="s">
        <v>2</v>
      </c>
      <c r="B59" s="43" t="s">
        <v>47</v>
      </c>
    </row>
    <row r="60" spans="1:3" x14ac:dyDescent="0.2">
      <c r="A60" s="37" t="s">
        <v>4</v>
      </c>
      <c r="B60" s="43" t="s">
        <v>5</v>
      </c>
    </row>
    <row r="61" spans="1:3" ht="25.5" customHeight="1" x14ac:dyDescent="0.2">
      <c r="A61" s="37" t="s">
        <v>6</v>
      </c>
      <c r="B61" s="43" t="s">
        <v>28</v>
      </c>
    </row>
    <row r="62" spans="1:3" ht="25.5" customHeight="1" x14ac:dyDescent="0.2">
      <c r="A62" s="37" t="s">
        <v>8</v>
      </c>
      <c r="B62" s="43" t="s">
        <v>48</v>
      </c>
    </row>
    <row r="63" spans="1:3" ht="153.94999999999999" customHeight="1" x14ac:dyDescent="0.2">
      <c r="A63" s="37" t="s">
        <v>10</v>
      </c>
      <c r="B63" s="43" t="s">
        <v>49</v>
      </c>
    </row>
    <row r="64" spans="1:3" ht="27.95" customHeight="1" x14ac:dyDescent="0.2">
      <c r="A64" s="37" t="s">
        <v>12</v>
      </c>
      <c r="B64" s="43" t="s">
        <v>50</v>
      </c>
    </row>
    <row r="65" spans="1:3" ht="27.95" customHeight="1" x14ac:dyDescent="0.2">
      <c r="A65" s="37" t="s">
        <v>14</v>
      </c>
      <c r="B65" s="43" t="s">
        <v>51</v>
      </c>
    </row>
    <row r="66" spans="1:3" ht="14.1" customHeight="1" x14ac:dyDescent="0.2">
      <c r="A66" s="37" t="s">
        <v>16</v>
      </c>
      <c r="B66" s="43" t="s">
        <v>52</v>
      </c>
    </row>
    <row r="67" spans="1:3" ht="14.1" customHeight="1" x14ac:dyDescent="0.2">
      <c r="A67" s="37" t="s">
        <v>18</v>
      </c>
      <c r="B67" s="39" t="s">
        <v>259</v>
      </c>
      <c r="C67" s="29"/>
    </row>
    <row r="69" spans="1:3" ht="14.1" customHeight="1" x14ac:dyDescent="0.2">
      <c r="A69" s="37" t="s">
        <v>0</v>
      </c>
      <c r="B69" s="43" t="s">
        <v>19</v>
      </c>
    </row>
    <row r="70" spans="1:3" ht="25.5" customHeight="1" x14ac:dyDescent="0.2">
      <c r="A70" s="37" t="s">
        <v>2</v>
      </c>
      <c r="B70" s="43" t="s">
        <v>53</v>
      </c>
    </row>
    <row r="71" spans="1:3" x14ac:dyDescent="0.2">
      <c r="A71" s="37" t="s">
        <v>4</v>
      </c>
      <c r="B71" s="43" t="s">
        <v>5</v>
      </c>
    </row>
    <row r="72" spans="1:3" ht="25.5" customHeight="1" x14ac:dyDescent="0.2">
      <c r="A72" s="37" t="s">
        <v>6</v>
      </c>
      <c r="B72" s="43" t="s">
        <v>28</v>
      </c>
    </row>
    <row r="73" spans="1:3" ht="25.5" customHeight="1" x14ac:dyDescent="0.2">
      <c r="A73" s="37" t="s">
        <v>8</v>
      </c>
      <c r="B73" s="43" t="s">
        <v>54</v>
      </c>
    </row>
    <row r="74" spans="1:3" ht="153.94999999999999" customHeight="1" x14ac:dyDescent="0.2">
      <c r="A74" s="37" t="s">
        <v>10</v>
      </c>
      <c r="B74" s="43" t="s">
        <v>55</v>
      </c>
    </row>
    <row r="75" spans="1:3" ht="27.95" customHeight="1" x14ac:dyDescent="0.2">
      <c r="A75" s="37" t="s">
        <v>12</v>
      </c>
      <c r="B75" s="43" t="s">
        <v>56</v>
      </c>
    </row>
    <row r="76" spans="1:3" ht="27.95" customHeight="1" x14ac:dyDescent="0.2">
      <c r="A76" s="37" t="s">
        <v>14</v>
      </c>
      <c r="B76" s="43" t="s">
        <v>57</v>
      </c>
    </row>
    <row r="77" spans="1:3" ht="14.1" customHeight="1" x14ac:dyDescent="0.2">
      <c r="A77" s="37" t="s">
        <v>16</v>
      </c>
      <c r="B77" s="43" t="s">
        <v>58</v>
      </c>
    </row>
    <row r="78" spans="1:3" ht="14.1" customHeight="1" x14ac:dyDescent="0.2">
      <c r="A78" s="37" t="s">
        <v>18</v>
      </c>
      <c r="B78" s="39" t="s">
        <v>259</v>
      </c>
      <c r="C78" s="29"/>
    </row>
    <row r="80" spans="1:3" ht="14.1" customHeight="1" x14ac:dyDescent="0.2">
      <c r="A80" s="37" t="s">
        <v>0</v>
      </c>
      <c r="B80" s="43" t="s">
        <v>19</v>
      </c>
    </row>
    <row r="81" spans="1:3" ht="25.5" customHeight="1" x14ac:dyDescent="0.2">
      <c r="A81" s="37" t="s">
        <v>2</v>
      </c>
      <c r="B81" s="43" t="s">
        <v>53</v>
      </c>
    </row>
    <row r="82" spans="1:3" x14ac:dyDescent="0.2">
      <c r="A82" s="37" t="s">
        <v>4</v>
      </c>
      <c r="B82" s="43" t="s">
        <v>5</v>
      </c>
    </row>
    <row r="83" spans="1:3" ht="25.5" customHeight="1" x14ac:dyDescent="0.2">
      <c r="A83" s="37" t="s">
        <v>6</v>
      </c>
      <c r="B83" s="43" t="s">
        <v>59</v>
      </c>
    </row>
    <row r="84" spans="1:3" ht="25.5" customHeight="1" x14ac:dyDescent="0.2">
      <c r="A84" s="37" t="s">
        <v>8</v>
      </c>
      <c r="B84" s="43" t="s">
        <v>60</v>
      </c>
    </row>
    <row r="85" spans="1:3" ht="153.94999999999999" customHeight="1" x14ac:dyDescent="0.2">
      <c r="A85" s="37" t="s">
        <v>10</v>
      </c>
      <c r="B85" s="43" t="s">
        <v>61</v>
      </c>
    </row>
    <row r="86" spans="1:3" ht="27.95" customHeight="1" x14ac:dyDescent="0.2">
      <c r="A86" s="37" t="s">
        <v>12</v>
      </c>
      <c r="B86" s="43" t="s">
        <v>62</v>
      </c>
    </row>
    <row r="87" spans="1:3" ht="27.95" customHeight="1" x14ac:dyDescent="0.2">
      <c r="A87" s="37" t="s">
        <v>14</v>
      </c>
      <c r="B87" s="43" t="s">
        <v>63</v>
      </c>
    </row>
    <row r="88" spans="1:3" ht="14.1" customHeight="1" x14ac:dyDescent="0.2">
      <c r="A88" s="37" t="s">
        <v>16</v>
      </c>
      <c r="B88" s="43" t="s">
        <v>64</v>
      </c>
    </row>
    <row r="89" spans="1:3" ht="14.1" customHeight="1" x14ac:dyDescent="0.2">
      <c r="A89" s="37" t="s">
        <v>18</v>
      </c>
      <c r="B89" s="39" t="s">
        <v>259</v>
      </c>
      <c r="C89" s="29"/>
    </row>
    <row r="91" spans="1:3" ht="14.1" customHeight="1" x14ac:dyDescent="0.2">
      <c r="A91" s="37" t="s">
        <v>0</v>
      </c>
      <c r="B91" s="43" t="s">
        <v>19</v>
      </c>
    </row>
    <row r="92" spans="1:3" ht="25.5" customHeight="1" x14ac:dyDescent="0.2">
      <c r="A92" s="37" t="s">
        <v>2</v>
      </c>
      <c r="B92" s="43" t="s">
        <v>27</v>
      </c>
    </row>
    <row r="93" spans="1:3" x14ac:dyDescent="0.2">
      <c r="A93" s="37" t="s">
        <v>4</v>
      </c>
      <c r="B93" s="43" t="s">
        <v>5</v>
      </c>
    </row>
    <row r="94" spans="1:3" ht="25.5" customHeight="1" x14ac:dyDescent="0.2">
      <c r="A94" s="37" t="s">
        <v>6</v>
      </c>
      <c r="B94" s="43" t="s">
        <v>65</v>
      </c>
    </row>
    <row r="95" spans="1:3" ht="25.5" customHeight="1" x14ac:dyDescent="0.2">
      <c r="A95" s="37" t="s">
        <v>8</v>
      </c>
      <c r="B95" s="43" t="s">
        <v>66</v>
      </c>
    </row>
    <row r="96" spans="1:3" ht="153.94999999999999" customHeight="1" x14ac:dyDescent="0.2">
      <c r="A96" s="37" t="s">
        <v>10</v>
      </c>
      <c r="B96" s="43" t="s">
        <v>67</v>
      </c>
    </row>
    <row r="97" spans="1:3" ht="27.95" customHeight="1" x14ac:dyDescent="0.2">
      <c r="A97" s="37" t="s">
        <v>12</v>
      </c>
      <c r="B97" s="43" t="s">
        <v>68</v>
      </c>
    </row>
    <row r="98" spans="1:3" ht="27.95" customHeight="1" x14ac:dyDescent="0.2">
      <c r="A98" s="37" t="s">
        <v>14</v>
      </c>
      <c r="B98" s="43" t="s">
        <v>25</v>
      </c>
    </row>
    <row r="99" spans="1:3" ht="14.1" customHeight="1" x14ac:dyDescent="0.2">
      <c r="A99" s="37" t="s">
        <v>16</v>
      </c>
      <c r="B99" s="43" t="s">
        <v>69</v>
      </c>
    </row>
    <row r="100" spans="1:3" ht="14.1" customHeight="1" x14ac:dyDescent="0.2">
      <c r="A100" s="37" t="s">
        <v>18</v>
      </c>
      <c r="B100" s="39" t="s">
        <v>259</v>
      </c>
      <c r="C100" s="29"/>
    </row>
    <row r="102" spans="1:3" ht="14.1" customHeight="1" x14ac:dyDescent="0.2">
      <c r="A102" s="37" t="s">
        <v>0</v>
      </c>
      <c r="B102" s="43" t="s">
        <v>19</v>
      </c>
    </row>
    <row r="103" spans="1:3" ht="25.5" customHeight="1" x14ac:dyDescent="0.2">
      <c r="A103" s="37" t="s">
        <v>2</v>
      </c>
      <c r="B103" s="43" t="s">
        <v>70</v>
      </c>
    </row>
    <row r="104" spans="1:3" x14ac:dyDescent="0.2">
      <c r="A104" s="37" t="s">
        <v>4</v>
      </c>
      <c r="B104" s="43" t="s">
        <v>5</v>
      </c>
    </row>
    <row r="105" spans="1:3" ht="25.5" customHeight="1" x14ac:dyDescent="0.2">
      <c r="A105" s="37" t="s">
        <v>6</v>
      </c>
      <c r="B105" s="43" t="s">
        <v>71</v>
      </c>
    </row>
    <row r="106" spans="1:3" ht="25.5" customHeight="1" x14ac:dyDescent="0.2">
      <c r="A106" s="37" t="s">
        <v>8</v>
      </c>
      <c r="B106" s="43" t="s">
        <v>72</v>
      </c>
    </row>
    <row r="107" spans="1:3" ht="153.94999999999999" customHeight="1" x14ac:dyDescent="0.2">
      <c r="A107" s="37" t="s">
        <v>10</v>
      </c>
      <c r="B107" s="43" t="s">
        <v>73</v>
      </c>
    </row>
    <row r="108" spans="1:3" ht="27.95" customHeight="1" x14ac:dyDescent="0.2">
      <c r="A108" s="37" t="s">
        <v>12</v>
      </c>
      <c r="B108" s="43" t="s">
        <v>74</v>
      </c>
    </row>
    <row r="109" spans="1:3" ht="27.95" customHeight="1" x14ac:dyDescent="0.2">
      <c r="A109" s="37" t="s">
        <v>14</v>
      </c>
      <c r="B109" s="43" t="s">
        <v>75</v>
      </c>
    </row>
    <row r="110" spans="1:3" ht="14.1" customHeight="1" x14ac:dyDescent="0.2">
      <c r="A110" s="37" t="s">
        <v>16</v>
      </c>
      <c r="B110" s="43" t="s">
        <v>76</v>
      </c>
    </row>
    <row r="111" spans="1:3" ht="14.1" customHeight="1" x14ac:dyDescent="0.2">
      <c r="A111" s="37" t="s">
        <v>18</v>
      </c>
      <c r="B111" s="39" t="s">
        <v>259</v>
      </c>
      <c r="C111" s="29"/>
    </row>
    <row r="113" spans="1:3" ht="14.1" customHeight="1" x14ac:dyDescent="0.2">
      <c r="A113" s="37" t="s">
        <v>0</v>
      </c>
      <c r="B113" s="43" t="s">
        <v>19</v>
      </c>
    </row>
    <row r="114" spans="1:3" ht="25.5" customHeight="1" x14ac:dyDescent="0.2">
      <c r="A114" s="37" t="s">
        <v>2</v>
      </c>
      <c r="B114" s="43" t="s">
        <v>77</v>
      </c>
    </row>
    <row r="115" spans="1:3" x14ac:dyDescent="0.2">
      <c r="A115" s="37" t="s">
        <v>4</v>
      </c>
      <c r="B115" s="43" t="s">
        <v>5</v>
      </c>
    </row>
    <row r="116" spans="1:3" ht="25.5" customHeight="1" x14ac:dyDescent="0.2">
      <c r="A116" s="37" t="s">
        <v>6</v>
      </c>
      <c r="B116" s="43" t="s">
        <v>78</v>
      </c>
    </row>
    <row r="117" spans="1:3" ht="25.5" customHeight="1" x14ac:dyDescent="0.2">
      <c r="A117" s="37" t="s">
        <v>8</v>
      </c>
      <c r="B117" s="43" t="s">
        <v>22</v>
      </c>
    </row>
    <row r="118" spans="1:3" ht="153.94999999999999" customHeight="1" x14ac:dyDescent="0.2">
      <c r="A118" s="37" t="s">
        <v>10</v>
      </c>
      <c r="B118" s="43" t="s">
        <v>79</v>
      </c>
    </row>
    <row r="119" spans="1:3" ht="27.95" customHeight="1" x14ac:dyDescent="0.2">
      <c r="A119" s="37" t="s">
        <v>12</v>
      </c>
      <c r="B119" s="43" t="s">
        <v>80</v>
      </c>
    </row>
    <row r="120" spans="1:3" ht="27.95" customHeight="1" x14ac:dyDescent="0.2">
      <c r="A120" s="37" t="s">
        <v>14</v>
      </c>
      <c r="B120" s="43" t="s">
        <v>81</v>
      </c>
    </row>
    <row r="121" spans="1:3" ht="14.1" customHeight="1" x14ac:dyDescent="0.2">
      <c r="A121" s="37" t="s">
        <v>16</v>
      </c>
      <c r="B121" s="43" t="s">
        <v>82</v>
      </c>
    </row>
    <row r="122" spans="1:3" ht="14.1" customHeight="1" x14ac:dyDescent="0.2">
      <c r="A122" s="37" t="s">
        <v>18</v>
      </c>
      <c r="B122" s="39" t="s">
        <v>259</v>
      </c>
      <c r="C122" s="29"/>
    </row>
    <row r="124" spans="1:3" ht="14.1" customHeight="1" x14ac:dyDescent="0.2">
      <c r="A124" s="37" t="s">
        <v>0</v>
      </c>
      <c r="B124" s="43" t="s">
        <v>1</v>
      </c>
    </row>
    <row r="125" spans="1:3" ht="25.5" customHeight="1" x14ac:dyDescent="0.2">
      <c r="A125" s="37" t="s">
        <v>2</v>
      </c>
      <c r="B125" s="43" t="s">
        <v>3</v>
      </c>
    </row>
    <row r="126" spans="1:3" x14ac:dyDescent="0.2">
      <c r="A126" s="37" t="s">
        <v>4</v>
      </c>
      <c r="B126" s="43" t="s">
        <v>5</v>
      </c>
    </row>
    <row r="127" spans="1:3" ht="25.5" customHeight="1" x14ac:dyDescent="0.2">
      <c r="A127" s="37" t="s">
        <v>6</v>
      </c>
      <c r="B127" s="43" t="s">
        <v>83</v>
      </c>
    </row>
    <row r="128" spans="1:3" x14ac:dyDescent="0.2">
      <c r="A128" s="37" t="s">
        <v>8</v>
      </c>
      <c r="B128" s="43" t="s">
        <v>84</v>
      </c>
    </row>
    <row r="129" spans="1:3" ht="153.94999999999999" customHeight="1" x14ac:dyDescent="0.2">
      <c r="A129" s="37" t="s">
        <v>10</v>
      </c>
      <c r="B129" s="43" t="s">
        <v>85</v>
      </c>
    </row>
    <row r="130" spans="1:3" ht="27.95" customHeight="1" x14ac:dyDescent="0.2">
      <c r="A130" s="37" t="s">
        <v>12</v>
      </c>
      <c r="B130" s="43" t="s">
        <v>86</v>
      </c>
    </row>
    <row r="131" spans="1:3" ht="27.95" customHeight="1" x14ac:dyDescent="0.2">
      <c r="A131" s="37" t="s">
        <v>14</v>
      </c>
      <c r="B131" s="43" t="s">
        <v>87</v>
      </c>
    </row>
    <row r="132" spans="1:3" ht="14.1" customHeight="1" x14ac:dyDescent="0.2">
      <c r="A132" s="37" t="s">
        <v>16</v>
      </c>
      <c r="B132" s="43" t="s">
        <v>88</v>
      </c>
    </row>
    <row r="133" spans="1:3" ht="14.1" customHeight="1" x14ac:dyDescent="0.2">
      <c r="A133" s="37" t="s">
        <v>18</v>
      </c>
      <c r="B133" s="39" t="s">
        <v>259</v>
      </c>
      <c r="C133" s="29"/>
    </row>
    <row r="135" spans="1:3" ht="14.1" customHeight="1" x14ac:dyDescent="0.2">
      <c r="A135" s="37" t="s">
        <v>0</v>
      </c>
      <c r="B135" s="43" t="s">
        <v>1</v>
      </c>
    </row>
    <row r="136" spans="1:3" ht="25.5" customHeight="1" x14ac:dyDescent="0.2">
      <c r="A136" s="37" t="s">
        <v>2</v>
      </c>
      <c r="B136" s="43" t="s">
        <v>89</v>
      </c>
    </row>
    <row r="137" spans="1:3" x14ac:dyDescent="0.2">
      <c r="A137" s="37" t="s">
        <v>4</v>
      </c>
      <c r="B137" s="43" t="s">
        <v>5</v>
      </c>
    </row>
    <row r="138" spans="1:3" ht="25.5" customHeight="1" x14ac:dyDescent="0.2">
      <c r="A138" s="37" t="s">
        <v>6</v>
      </c>
      <c r="B138" s="43" t="s">
        <v>90</v>
      </c>
    </row>
    <row r="139" spans="1:3" x14ac:dyDescent="0.2">
      <c r="A139" s="37" t="s">
        <v>8</v>
      </c>
      <c r="B139" s="43" t="s">
        <v>91</v>
      </c>
    </row>
    <row r="140" spans="1:3" ht="153.94999999999999" customHeight="1" x14ac:dyDescent="0.2">
      <c r="A140" s="37" t="s">
        <v>10</v>
      </c>
      <c r="B140" s="43" t="s">
        <v>92</v>
      </c>
    </row>
    <row r="141" spans="1:3" ht="27.95" customHeight="1" x14ac:dyDescent="0.2">
      <c r="A141" s="37" t="s">
        <v>12</v>
      </c>
      <c r="B141" s="43" t="s">
        <v>93</v>
      </c>
    </row>
    <row r="142" spans="1:3" ht="27.95" customHeight="1" x14ac:dyDescent="0.2">
      <c r="A142" s="37" t="s">
        <v>14</v>
      </c>
      <c r="B142" s="43" t="s">
        <v>94</v>
      </c>
    </row>
    <row r="143" spans="1:3" ht="14.1" customHeight="1" x14ac:dyDescent="0.2">
      <c r="A143" s="37" t="s">
        <v>16</v>
      </c>
      <c r="B143" s="43" t="s">
        <v>95</v>
      </c>
    </row>
    <row r="144" spans="1:3" ht="14.1" customHeight="1" x14ac:dyDescent="0.2">
      <c r="A144" s="37" t="s">
        <v>18</v>
      </c>
      <c r="B144" s="39" t="s">
        <v>259</v>
      </c>
      <c r="C144" s="29"/>
    </row>
    <row r="146" spans="1:3" ht="14.1" customHeight="1" x14ac:dyDescent="0.2">
      <c r="A146" s="37" t="s">
        <v>0</v>
      </c>
      <c r="B146" s="43" t="s">
        <v>1</v>
      </c>
    </row>
    <row r="147" spans="1:3" ht="25.5" customHeight="1" x14ac:dyDescent="0.2">
      <c r="A147" s="37" t="s">
        <v>2</v>
      </c>
      <c r="B147" s="43" t="s">
        <v>96</v>
      </c>
    </row>
    <row r="148" spans="1:3" x14ac:dyDescent="0.2">
      <c r="A148" s="37" t="s">
        <v>4</v>
      </c>
      <c r="B148" s="43" t="s">
        <v>5</v>
      </c>
    </row>
    <row r="149" spans="1:3" ht="25.5" customHeight="1" x14ac:dyDescent="0.2">
      <c r="A149" s="37" t="s">
        <v>6</v>
      </c>
      <c r="B149" s="43" t="s">
        <v>7</v>
      </c>
    </row>
    <row r="150" spans="1:3" x14ac:dyDescent="0.2">
      <c r="A150" s="37" t="s">
        <v>8</v>
      </c>
      <c r="B150" s="43" t="s">
        <v>35</v>
      </c>
    </row>
    <row r="151" spans="1:3" ht="153.94999999999999" customHeight="1" x14ac:dyDescent="0.2">
      <c r="A151" s="37" t="s">
        <v>10</v>
      </c>
      <c r="B151" s="43" t="s">
        <v>97</v>
      </c>
    </row>
    <row r="152" spans="1:3" ht="27.95" customHeight="1" x14ac:dyDescent="0.2">
      <c r="A152" s="37" t="s">
        <v>12</v>
      </c>
      <c r="B152" s="43" t="s">
        <v>98</v>
      </c>
    </row>
    <row r="153" spans="1:3" ht="27.95" customHeight="1" x14ac:dyDescent="0.2">
      <c r="A153" s="37" t="s">
        <v>14</v>
      </c>
      <c r="B153" s="43" t="s">
        <v>99</v>
      </c>
    </row>
    <row r="154" spans="1:3" ht="14.1" customHeight="1" x14ac:dyDescent="0.2">
      <c r="A154" s="37" t="s">
        <v>16</v>
      </c>
      <c r="B154" s="43" t="s">
        <v>100</v>
      </c>
    </row>
    <row r="155" spans="1:3" ht="14.1" customHeight="1" x14ac:dyDescent="0.2">
      <c r="A155" s="37" t="s">
        <v>18</v>
      </c>
      <c r="B155" s="39" t="s">
        <v>259</v>
      </c>
      <c r="C155" s="29"/>
    </row>
    <row r="157" spans="1:3" ht="14.1" customHeight="1" x14ac:dyDescent="0.2">
      <c r="A157" s="37" t="s">
        <v>0</v>
      </c>
      <c r="B157" s="43" t="s">
        <v>1</v>
      </c>
    </row>
    <row r="158" spans="1:3" ht="25.5" customHeight="1" x14ac:dyDescent="0.2">
      <c r="A158" s="37" t="s">
        <v>2</v>
      </c>
      <c r="B158" s="43" t="s">
        <v>101</v>
      </c>
    </row>
    <row r="159" spans="1:3" x14ac:dyDescent="0.2">
      <c r="A159" s="37" t="s">
        <v>4</v>
      </c>
      <c r="B159" s="43" t="s">
        <v>5</v>
      </c>
    </row>
    <row r="160" spans="1:3" ht="25.5" customHeight="1" x14ac:dyDescent="0.2">
      <c r="A160" s="37" t="s">
        <v>6</v>
      </c>
      <c r="B160" s="43" t="s">
        <v>90</v>
      </c>
    </row>
    <row r="161" spans="1:3" x14ac:dyDescent="0.2">
      <c r="A161" s="37" t="s">
        <v>8</v>
      </c>
      <c r="B161" s="43" t="s">
        <v>102</v>
      </c>
    </row>
    <row r="162" spans="1:3" ht="153.94999999999999" customHeight="1" x14ac:dyDescent="0.2">
      <c r="A162" s="37" t="s">
        <v>10</v>
      </c>
      <c r="B162" s="43" t="s">
        <v>103</v>
      </c>
    </row>
    <row r="163" spans="1:3" ht="27.95" customHeight="1" x14ac:dyDescent="0.2">
      <c r="A163" s="37" t="s">
        <v>12</v>
      </c>
      <c r="B163" s="43" t="s">
        <v>104</v>
      </c>
    </row>
    <row r="164" spans="1:3" ht="27.95" customHeight="1" x14ac:dyDescent="0.2">
      <c r="A164" s="37" t="s">
        <v>14</v>
      </c>
      <c r="B164" s="43" t="s">
        <v>105</v>
      </c>
    </row>
    <row r="165" spans="1:3" ht="14.1" customHeight="1" x14ac:dyDescent="0.2">
      <c r="A165" s="37" t="s">
        <v>16</v>
      </c>
      <c r="B165" s="43" t="s">
        <v>106</v>
      </c>
    </row>
    <row r="166" spans="1:3" ht="14.1" customHeight="1" x14ac:dyDescent="0.2">
      <c r="A166" s="37" t="s">
        <v>18</v>
      </c>
      <c r="B166" s="39" t="s">
        <v>259</v>
      </c>
      <c r="C166" s="29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6"/>
  <sheetViews>
    <sheetView workbookViewId="0">
      <selection activeCell="E11" sqref="E11"/>
    </sheetView>
  </sheetViews>
  <sheetFormatPr defaultColWidth="11.42578125" defaultRowHeight="12.75" x14ac:dyDescent="0.2"/>
  <cols>
    <col min="3" max="3" width="29.28515625" style="31" customWidth="1"/>
    <col min="6" max="6" width="29.85546875" style="31" customWidth="1"/>
  </cols>
  <sheetData>
    <row r="2" spans="2:6" ht="14.1" customHeight="1" x14ac:dyDescent="0.2">
      <c r="B2" s="37" t="s">
        <v>247</v>
      </c>
      <c r="C2" s="37" t="s">
        <v>248</v>
      </c>
      <c r="D2" s="37" t="s">
        <v>249</v>
      </c>
      <c r="E2" s="37" t="s">
        <v>250</v>
      </c>
      <c r="F2" s="37" t="s">
        <v>147</v>
      </c>
    </row>
    <row r="3" spans="2:6" ht="14.1" customHeight="1" x14ac:dyDescent="0.2">
      <c r="B3" s="52" t="s">
        <v>251</v>
      </c>
      <c r="C3" s="39" t="s">
        <v>252</v>
      </c>
      <c r="D3" s="38">
        <v>14</v>
      </c>
      <c r="E3" s="51">
        <f>D3/D4</f>
        <v>1</v>
      </c>
      <c r="F3" s="53" t="s">
        <v>253</v>
      </c>
    </row>
    <row r="4" spans="2:6" ht="14.1" customHeight="1" x14ac:dyDescent="0.2">
      <c r="B4" s="49"/>
      <c r="C4" s="39" t="s">
        <v>254</v>
      </c>
      <c r="D4" s="38">
        <v>14</v>
      </c>
      <c r="E4" s="49"/>
      <c r="F4" s="49"/>
    </row>
    <row r="5" spans="2:6" ht="14.1" customHeight="1" x14ac:dyDescent="0.2">
      <c r="B5" s="52" t="s">
        <v>255</v>
      </c>
      <c r="C5" s="39" t="s">
        <v>256</v>
      </c>
      <c r="D5" s="38">
        <v>15</v>
      </c>
      <c r="E5" s="51">
        <f>D5/D6</f>
        <v>1</v>
      </c>
      <c r="F5" s="54" t="s">
        <v>257</v>
      </c>
    </row>
    <row r="6" spans="2:6" ht="14.1" customHeight="1" x14ac:dyDescent="0.2">
      <c r="B6" s="49"/>
      <c r="C6" s="39" t="s">
        <v>258</v>
      </c>
      <c r="D6" s="38">
        <v>15</v>
      </c>
      <c r="E6" s="49"/>
      <c r="F6" s="49"/>
    </row>
  </sheetData>
  <mergeCells count="6">
    <mergeCell ref="E5:E6"/>
    <mergeCell ref="B3:B4"/>
    <mergeCell ref="E3:E4"/>
    <mergeCell ref="F3:F4"/>
    <mergeCell ref="F5:F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Sprint 1 Backlog</vt:lpstr>
      <vt:lpstr>Sprint 2 Backlog</vt:lpstr>
      <vt:lpstr>Testing Plan</vt:lpstr>
      <vt:lpstr>Ex form Testing</vt:lpstr>
      <vt:lpstr>KPI's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Hemington, Derek</dc:creator>
  <cp:lastModifiedBy>Samuel Prieto</cp:lastModifiedBy>
  <dcterms:created xsi:type="dcterms:W3CDTF">2014-07-16T18:57:27Z</dcterms:created>
  <dcterms:modified xsi:type="dcterms:W3CDTF">2026-10-21T22:41:45Z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0x010100F85626AAD23ECE45B8A48BBB59E2CB51</vt:lpwstr>
  </property>
</Properties>
</file>